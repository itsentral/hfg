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22"/>
  <workbookPr/>
  <mc:AlternateContent xmlns:mc="http://schemas.openxmlformats.org/markup-compatibility/2006">
    <mc:Choice Requires="x15">
      <x15ac:absPath xmlns:x15ac="http://schemas.microsoft.com/office/spreadsheetml/2010/11/ac" url="C:\Users\sensi\Documents\SS baru\Improvement\Project\4. PT HFG dan HSJ\3. Mock Up\Produksi\Mock Up\Complain Coil\Mockup\"/>
    </mc:Choice>
  </mc:AlternateContent>
  <xr:revisionPtr revIDLastSave="0" documentId="13_ncr:1_{2BC679B8-9624-4C0A-8369-E84923D900E4}" xr6:coauthVersionLast="47" xr6:coauthVersionMax="47" xr10:uidLastSave="{00000000-0000-0000-0000-000000000000}"/>
  <bookViews>
    <workbookView xWindow="-110" yWindow="-110" windowWidth="19420" windowHeight="11020" firstSheet="2" activeTab="5" xr2:uid="{00000000-000D-0000-FFFF-FFFF00000000}"/>
  </bookViews>
  <sheets>
    <sheet name="Flow" sheetId="16" r:id="rId1"/>
    <sheet name="Case HFG" sheetId="31" r:id="rId2"/>
    <sheet name="Simulasi Claim Kombinasi jalur" sheetId="32" r:id="rId3"/>
    <sheet name="Tampungan Hold" sheetId="18" state="hidden" r:id="rId4"/>
    <sheet name="Saat Claim dari Produksi" sheetId="20" state="hidden" r:id="rId5"/>
    <sheet name="Konsep&amp;Sim Modul Claim" sheetId="19" r:id="rId6"/>
    <sheet name="Konsep&amp;Sim Debit Note" sheetId="24" r:id="rId7"/>
    <sheet name="Konsep&amp;Sim SJ Retur" sheetId="25" r:id="rId8"/>
    <sheet name="Konsep&amp;Sim Bayar PO with DN" sheetId="30" r:id="rId9"/>
    <sheet name="Konsep&amp;Sim Tagihan DN Langsung" sheetId="29" r:id="rId10"/>
    <sheet name="Header - List Penerimaan" sheetId="26" r:id="rId11"/>
    <sheet name="Detail-Penerimaan Retur" sheetId="27" r:id="rId12"/>
    <sheet name="Detail-Penerimaan Kompensasi" sheetId="28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0" i="30" l="1"/>
  <c r="G49" i="30"/>
  <c r="C50" i="30"/>
  <c r="C49" i="30"/>
  <c r="D58" i="24"/>
  <c r="C57" i="24"/>
  <c r="C48" i="24"/>
  <c r="C50" i="24" s="1"/>
  <c r="G46" i="24"/>
  <c r="F46" i="24"/>
  <c r="E46" i="24"/>
  <c r="D46" i="24"/>
  <c r="C46" i="24"/>
  <c r="B46" i="24"/>
  <c r="F38" i="24"/>
  <c r="E38" i="24"/>
  <c r="D38" i="24"/>
  <c r="C38" i="24"/>
  <c r="F37" i="24"/>
  <c r="E37" i="24"/>
  <c r="D37" i="24"/>
  <c r="C37" i="24"/>
  <c r="H20" i="24"/>
  <c r="C22" i="24"/>
  <c r="G20" i="24"/>
  <c r="F20" i="24"/>
  <c r="E20" i="24"/>
  <c r="D20" i="24"/>
  <c r="C20" i="24"/>
  <c r="B20" i="24"/>
  <c r="E12" i="24"/>
  <c r="C12" i="24"/>
  <c r="E11" i="24"/>
  <c r="C11" i="24"/>
  <c r="D79" i="25"/>
  <c r="C78" i="25"/>
  <c r="G71" i="25"/>
  <c r="F71" i="25"/>
  <c r="E71" i="25"/>
  <c r="D71" i="25"/>
  <c r="C71" i="25"/>
  <c r="B71" i="25"/>
  <c r="D59" i="25"/>
  <c r="C59" i="25"/>
  <c r="B65" i="25" s="1"/>
  <c r="D50" i="25"/>
  <c r="C49" i="25"/>
  <c r="G42" i="25"/>
  <c r="F42" i="25"/>
  <c r="E42" i="25"/>
  <c r="D42" i="25"/>
  <c r="C42" i="25"/>
  <c r="B42" i="25"/>
  <c r="G18" i="25"/>
  <c r="F18" i="25"/>
  <c r="H76" i="19"/>
  <c r="G76" i="19"/>
  <c r="F76" i="19"/>
  <c r="E76" i="19"/>
  <c r="D76" i="19"/>
  <c r="C76" i="19"/>
  <c r="D18" i="25"/>
  <c r="D10" i="25"/>
  <c r="C18" i="25" s="1"/>
  <c r="D30" i="25" s="1"/>
  <c r="C10" i="25"/>
  <c r="B18" i="25" s="1"/>
  <c r="C30" i="25" s="1"/>
  <c r="B36" i="25" s="1"/>
  <c r="F52" i="19"/>
  <c r="D77" i="32"/>
  <c r="G43" i="19"/>
  <c r="G42" i="19"/>
  <c r="G12" i="19"/>
  <c r="G70" i="19" s="1"/>
  <c r="G11" i="19"/>
  <c r="G69" i="19" s="1"/>
  <c r="E150" i="32"/>
  <c r="C143" i="32"/>
  <c r="C142" i="32"/>
  <c r="C144" i="32" l="1"/>
  <c r="D137" i="32"/>
  <c r="E134" i="32"/>
  <c r="E98" i="32"/>
  <c r="D98" i="32"/>
  <c r="D63" i="32"/>
  <c r="C69" i="32" s="1"/>
  <c r="C63" i="32"/>
  <c r="C66" i="32" s="1"/>
  <c r="E66" i="32" s="1"/>
  <c r="D75" i="32" s="1"/>
  <c r="D76" i="32" s="1"/>
  <c r="C46" i="32"/>
  <c r="C45" i="32"/>
  <c r="F63" i="32" s="1"/>
  <c r="D40" i="32"/>
  <c r="E39" i="32"/>
  <c r="E7" i="32"/>
  <c r="D7" i="32"/>
  <c r="E18" i="31"/>
  <c r="E17" i="31"/>
  <c r="E19" i="31" s="1"/>
  <c r="F15" i="31"/>
  <c r="G15" i="31" s="1"/>
  <c r="E15" i="31"/>
  <c r="C13" i="31"/>
  <c r="G13" i="31" s="1"/>
  <c r="E11" i="31"/>
  <c r="G11" i="31" s="1"/>
  <c r="I11" i="31" s="1"/>
  <c r="E20" i="31" s="1"/>
  <c r="E9" i="31"/>
  <c r="E5" i="31"/>
  <c r="F5" i="31" s="1"/>
  <c r="G5" i="31" s="1"/>
  <c r="D23" i="27"/>
  <c r="D22" i="27"/>
  <c r="D17" i="29"/>
  <c r="C24" i="24"/>
  <c r="K74" i="20"/>
  <c r="D85" i="32" l="1"/>
  <c r="C125" i="32"/>
  <c r="E135" i="32" s="1"/>
  <c r="E63" i="32"/>
  <c r="G63" i="32" s="1"/>
  <c r="E87" i="32"/>
  <c r="D148" i="32"/>
  <c r="F7" i="32"/>
  <c r="F9" i="32" s="1"/>
  <c r="F10" i="32" s="1"/>
  <c r="F11" i="32" s="1"/>
  <c r="C47" i="32"/>
  <c r="D51" i="32" s="1"/>
  <c r="D55" i="32" s="1"/>
  <c r="C81" i="32"/>
  <c r="E81" i="32" s="1"/>
  <c r="E69" i="32"/>
  <c r="F98" i="32"/>
  <c r="E22" i="31"/>
  <c r="E21" i="31"/>
  <c r="F81" i="32" l="1"/>
  <c r="C126" i="32"/>
  <c r="E136" i="32" s="1"/>
  <c r="C16" i="32"/>
  <c r="D24" i="32" s="1"/>
  <c r="E52" i="32" s="1"/>
  <c r="F100" i="32"/>
  <c r="F101" i="32" s="1"/>
  <c r="F102" i="32" s="1"/>
  <c r="C107" i="32"/>
  <c r="C121" i="32" s="1"/>
  <c r="D86" i="32"/>
  <c r="D89" i="32" s="1"/>
  <c r="E88" i="32"/>
  <c r="E89" i="32" s="1"/>
  <c r="D152" i="32"/>
  <c r="E53" i="32"/>
  <c r="E24" i="31"/>
  <c r="E23" i="31"/>
  <c r="C18" i="32" l="1"/>
  <c r="C19" i="32" s="1"/>
  <c r="C20" i="32" s="1"/>
  <c r="E26" i="32" s="1"/>
  <c r="D115" i="32"/>
  <c r="E149" i="32" s="1"/>
  <c r="E152" i="32" s="1"/>
  <c r="C109" i="32"/>
  <c r="C110" i="32" s="1"/>
  <c r="C122" i="32" s="1"/>
  <c r="C128" i="32" s="1"/>
  <c r="E55" i="32"/>
  <c r="D25" i="32"/>
  <c r="D27" i="32" s="1"/>
  <c r="C30" i="32" l="1"/>
  <c r="C32" i="32" s="1"/>
  <c r="E38" i="32" s="1"/>
  <c r="E41" i="32" s="1"/>
  <c r="C111" i="32"/>
  <c r="D116" i="32"/>
  <c r="D118" i="32" s="1"/>
  <c r="D37" i="32"/>
  <c r="D41" i="32" s="1"/>
  <c r="E27" i="32"/>
  <c r="E133" i="32" l="1"/>
  <c r="E138" i="32" s="1"/>
  <c r="E117" i="32"/>
  <c r="D132" i="32" l="1"/>
  <c r="D138" i="32" s="1"/>
  <c r="E118" i="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Rama Dan</author>
  </authors>
  <commentList>
    <comment ref="E11" authorId="0" shapeId="0" xr:uid="{579B89BF-0FB9-4703-8CCE-6CFB7F17848E}">
      <text>
        <r>
          <rPr>
            <b/>
            <sz val="9"/>
            <color indexed="81"/>
            <rFont val="Tahoma"/>
            <charset val="1"/>
          </rPr>
          <t>18800 adalah harga beli/kg --&gt; costbook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Rama Dan</author>
    <author>Imanuel Iman</author>
  </authors>
  <commentList>
    <comment ref="H16" authorId="0" shapeId="0" xr:uid="{4DF4C377-6EFB-43AF-80C2-DC38F2CBC72D}">
      <text>
        <r>
          <rPr>
            <b/>
            <sz val="9"/>
            <color indexed="81"/>
            <rFont val="Tahoma"/>
            <family val="2"/>
          </rPr>
          <t>Standardnya berapa?</t>
        </r>
      </text>
    </comment>
    <comment ref="B37" authorId="1" shapeId="0" xr:uid="{F67DFE6C-BA21-48C1-9968-6BD2B15353AF}">
      <text>
        <r>
          <rPr>
            <sz val="10"/>
            <color rgb="FF000000"/>
            <rFont val="Tahoma"/>
            <family val="2"/>
          </rPr>
          <t xml:space="preserve">INput Kw 2 selalu sama ? pakai total berat ?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Rama Dan</author>
  </authors>
  <commentList>
    <comment ref="D50" authorId="0" shapeId="0" xr:uid="{260F4329-8316-4BBA-9E3A-5599E0FB883D}">
      <text>
        <r>
          <rPr>
            <b/>
            <sz val="9"/>
            <color indexed="81"/>
            <rFont val="Tahoma"/>
            <charset val="1"/>
          </rPr>
          <t>Qty x Costbook saat itu</t>
        </r>
      </text>
    </comment>
  </commentList>
</comments>
</file>

<file path=xl/sharedStrings.xml><?xml version="1.0" encoding="utf-8"?>
<sst xmlns="http://schemas.openxmlformats.org/spreadsheetml/2006/main" count="977" uniqueCount="434">
  <si>
    <t>Flow</t>
  </si>
  <si>
    <t>Tambahan tampilan</t>
  </si>
  <si>
    <t>Tampilan stok, disamakan dengan tampilan dari menu Warehouse &gt; Gudang Coil &gt; Stock. Ditambahkan juga tampungan untuk material dengan status "HOLD" di tab "Material On Hold"</t>
  </si>
  <si>
    <t>Header :</t>
  </si>
  <si>
    <t>No</t>
  </si>
  <si>
    <t>Nama Supplier</t>
  </si>
  <si>
    <t>No. PO Pembelian</t>
  </si>
  <si>
    <t>Problem</t>
  </si>
  <si>
    <t>Action</t>
  </si>
  <si>
    <t>No. Coil Packing List</t>
  </si>
  <si>
    <t>PO-001</t>
  </si>
  <si>
    <t>Email</t>
  </si>
  <si>
    <t>Supplier :</t>
  </si>
  <si>
    <t>(Filter by Supplier)</t>
  </si>
  <si>
    <t>Fitur :</t>
  </si>
  <si>
    <t>Email, untuk kirim email keluhan ke Supplier</t>
  </si>
  <si>
    <t>Process Act, memilih tindakan selanjutnya</t>
  </si>
  <si>
    <t>Detail untuk email :</t>
  </si>
  <si>
    <t>Laporan Produksi (Modifikasi dari Model Program saat ini (Submenu : Production Report)</t>
  </si>
  <si>
    <t>Catatan</t>
  </si>
  <si>
    <t>SPK :</t>
  </si>
  <si>
    <t>(Select SPK)</t>
  </si>
  <si>
    <t xml:space="preserve">Konsistensi Nama di semua table </t>
  </si>
  <si>
    <t>Siapkan table database, misalnya 
- Tabel WIP, 
- Tabel finish good, 
- Tabel produk bermasalah (hold)
- Tabel Reject Supplier</t>
  </si>
  <si>
    <t>Tgl Produksi</t>
  </si>
  <si>
    <t>Mesin</t>
  </si>
  <si>
    <t>Helper Name</t>
  </si>
  <si>
    <t>Setter Name</t>
  </si>
  <si>
    <t>Start Time</t>
  </si>
  <si>
    <t>Finished Time</t>
  </si>
  <si>
    <t>(Select Tgl)</t>
  </si>
  <si>
    <t>(Select Mesin)</t>
  </si>
  <si>
    <t>(Select Helper)</t>
  </si>
  <si>
    <t>(Select Setter)</t>
  </si>
  <si>
    <t>(Input HH:MM)</t>
  </si>
  <si>
    <t xml:space="preserve">Buat beberapa simulasi 
   - Simulasi buka packing tidak di proses
   - Simulasi buka packing proses kw 2 100 m  
   - Simulasi produksi full 
   - Simulasi produksi masih ada sisa coil 
    </t>
  </si>
  <si>
    <t>Data Packing List</t>
  </si>
  <si>
    <t>Coil Used</t>
  </si>
  <si>
    <t>Gross Weight packing list</t>
  </si>
  <si>
    <t>Nett Weight Packing list</t>
  </si>
  <si>
    <t>Total Meter</t>
  </si>
  <si>
    <t>Select coil dari gudang Produksi 2</t>
  </si>
  <si>
    <t xml:space="preserve">Database </t>
  </si>
  <si>
    <t>Select coil dari gudang WIP Sisa Coil</t>
  </si>
  <si>
    <t>Packing (Actual Condition --&gt; Setelah Unpack)</t>
  </si>
  <si>
    <t>Gross Weight Actual</t>
  </si>
  <si>
    <t>Nett Weight Actual</t>
  </si>
  <si>
    <t>Tgl Unpack</t>
  </si>
  <si>
    <t>Kulit</t>
  </si>
  <si>
    <t>Clamp / Ring (kg)</t>
  </si>
  <si>
    <t>Net Weight Aktual</t>
  </si>
  <si>
    <t>Wrapping (kg)</t>
  </si>
  <si>
    <t xml:space="preserve">% Selisih </t>
  </si>
  <si>
    <t>Coil Condition</t>
  </si>
  <si>
    <t>(Input Kg)</t>
  </si>
  <si>
    <t>%selisih net actual vs packing list</t>
  </si>
  <si>
    <t>(Input Free Text)</t>
  </si>
  <si>
    <t>Finish Good KW 1</t>
  </si>
  <si>
    <t>Produk 1 :</t>
  </si>
  <si>
    <t>(Sesuai Product yang di SPK)</t>
  </si>
  <si>
    <t>Input Detail Production</t>
  </si>
  <si>
    <t>Produk 2 :</t>
  </si>
  <si>
    <t>Produk 3 :</t>
  </si>
  <si>
    <t>Add Stok Bebas</t>
  </si>
  <si>
    <t>Stok Bebas 1 :</t>
  </si>
  <si>
    <t>(Select Master Product)</t>
  </si>
  <si>
    <t>Pilihan 1 (Total+Qty)</t>
  </si>
  <si>
    <t>Pilihan 2 (Per Pcs+Qty)</t>
  </si>
  <si>
    <t>Pilihan 1 :</t>
  </si>
  <si>
    <t>Qty</t>
  </si>
  <si>
    <t>Berat Total (Kg)</t>
  </si>
  <si>
    <t>Berat/Pcs (Kg)</t>
  </si>
  <si>
    <t>(Input Qty)</t>
  </si>
  <si>
    <t>(Total Berat/Qty)</t>
  </si>
  <si>
    <t>--&gt; Pakai pilihan 1</t>
  </si>
  <si>
    <t>Pilihan 2 :</t>
  </si>
  <si>
    <t>(Qty x Berat/pcs)</t>
  </si>
  <si>
    <t>KW 2</t>
  </si>
  <si>
    <t>Internal</t>
  </si>
  <si>
    <t>Add KW 2</t>
  </si>
  <si>
    <t>Size (m)</t>
  </si>
  <si>
    <t>Qty KW 2</t>
  </si>
  <si>
    <t>Berat Total (kg)</t>
  </si>
  <si>
    <t>Nama KW 2</t>
  </si>
  <si>
    <t>Keterangan</t>
  </si>
  <si>
    <t>(input qty)</t>
  </si>
  <si>
    <t>Berat total / Qty Kw2</t>
  </si>
  <si>
    <t>(Input free text)</t>
  </si>
  <si>
    <t>Supplier</t>
  </si>
  <si>
    <t>-&gt; Contoh : KW 2 akibat white rust</t>
  </si>
  <si>
    <t>Sisa Coil</t>
  </si>
  <si>
    <t>Berat :</t>
  </si>
  <si>
    <t>Total Berat Hold Coil</t>
  </si>
  <si>
    <t>--&gt; Tidak dijurnal, karena akan diclaim. Setelah itu, lanjut produksi atau simpan di Gudang</t>
  </si>
  <si>
    <t>Berat Coil Setelah Produksi</t>
  </si>
  <si>
    <t>Tong Coil (kg)</t>
  </si>
  <si>
    <t>Reject Product</t>
  </si>
  <si>
    <t>Internal :</t>
  </si>
  <si>
    <t>Reject Material Plat</t>
  </si>
  <si>
    <t>Potongan Pisau</t>
  </si>
  <si>
    <t>Summary Packing List vs Aktual Total Produksi</t>
  </si>
  <si>
    <t>Finish Good</t>
  </si>
  <si>
    <t>KW2</t>
  </si>
  <si>
    <t>Reject Produk</t>
  </si>
  <si>
    <t>Reject Material</t>
  </si>
  <si>
    <t>Tong Coil</t>
  </si>
  <si>
    <t>Wrapping</t>
  </si>
  <si>
    <t>Total Sisa Coil (kg)</t>
  </si>
  <si>
    <t>Net weight produksi</t>
  </si>
  <si>
    <t>Net weight packing list</t>
  </si>
  <si>
    <t>Selisih (kg)</t>
  </si>
  <si>
    <t>Selisih (%)
Total Output vs Packing List</t>
  </si>
  <si>
    <t>(Total FG KW 1)</t>
  </si>
  <si>
    <t>(Total FG KW 2)</t>
  </si>
  <si>
    <t>(Total Reject Produk)</t>
  </si>
  <si>
    <t>(Total Reject Material)</t>
  </si>
  <si>
    <t>(Total Potongan Pisau)</t>
  </si>
  <si>
    <t>(Total Tong Coil)</t>
  </si>
  <si>
    <t>(Total Wrapping)</t>
  </si>
  <si>
    <t>(Total Sisa Coil)</t>
  </si>
  <si>
    <t>(Sum KW 1 sampai Total sisa Coil)</t>
  </si>
  <si>
    <t>(Net Weight Produksi vs Packing List)</t>
  </si>
  <si>
    <t>% selisih</t>
  </si>
  <si>
    <t>Hold &amp; Claim</t>
  </si>
  <si>
    <t>Save</t>
  </si>
  <si>
    <t>Butuh master setting email?</t>
  </si>
  <si>
    <t>Pop-Up Hold &amp; Claim</t>
  </si>
  <si>
    <t>Detail Process Act :</t>
  </si>
  <si>
    <t>Nama Material</t>
  </si>
  <si>
    <t>Galvalum 025</t>
  </si>
  <si>
    <t>Confirm</t>
  </si>
  <si>
    <t>Cancel</t>
  </si>
  <si>
    <t>View Alasan Hold dari Produksi</t>
  </si>
  <si>
    <t>Berat Coil (Kg)</t>
  </si>
  <si>
    <t>Status</t>
  </si>
  <si>
    <t>"Retur"</t>
  </si>
  <si>
    <t>Konsep</t>
  </si>
  <si>
    <t>Kurs :</t>
  </si>
  <si>
    <t>Penerimaan Credit Note, Untuk input nilai claim ke supplier</t>
  </si>
  <si>
    <t>Kompensasi</t>
  </si>
  <si>
    <t>Process Decision</t>
  </si>
  <si>
    <t>Decision</t>
  </si>
  <si>
    <t>Kompensasi :</t>
  </si>
  <si>
    <t>(Input Nilai Debit Note)</t>
  </si>
  <si>
    <t>1. Debit Note</t>
  </si>
  <si>
    <t>2. Lanjut Produksi</t>
  </si>
  <si>
    <t>(Input Catatan Untuk Produksi)</t>
  </si>
  <si>
    <t>3. Jual Material</t>
  </si>
  <si>
    <t>(Input Keterangan)</t>
  </si>
  <si>
    <t>--&gt; Otomatis masuk ke Inventory Material Khusus dijual (Gudang Slitting)</t>
  </si>
  <si>
    <t>--&gt; Otomatis masuk ke List Debit Note</t>
  </si>
  <si>
    <t>--&gt; Statusnya otomatis berubah dari "Hold" menjadi bisa dipakai</t>
  </si>
  <si>
    <t>1. Retur ke Supplier</t>
  </si>
  <si>
    <t>Retur :</t>
  </si>
  <si>
    <t>Konsep &amp; Simulasi Material Claim (Pemilihan Keputusan)</t>
  </si>
  <si>
    <t>Status Claim</t>
  </si>
  <si>
    <t>No. Debit Note</t>
  </si>
  <si>
    <t>Tgl Terbit</t>
  </si>
  <si>
    <t>Mata Uang</t>
  </si>
  <si>
    <t>Total Nilai Klaim</t>
  </si>
  <si>
    <t>Status Dokumen</t>
  </si>
  <si>
    <t>DN-2609-001</t>
  </si>
  <si>
    <t>PT Harapan Fajar Gemilang</t>
  </si>
  <si>
    <t>USD</t>
  </si>
  <si>
    <t>DN-2609-002</t>
  </si>
  <si>
    <t>YINGLI INTERNATIONAL</t>
  </si>
  <si>
    <t>DN-2609-003</t>
  </si>
  <si>
    <t>PT Baja Lokal Sejahtera</t>
  </si>
  <si>
    <t>IDR</t>
  </si>
  <si>
    <t>Print</t>
  </si>
  <si>
    <t>View</t>
  </si>
  <si>
    <t>Edit</t>
  </si>
  <si>
    <t>Create</t>
  </si>
  <si>
    <t>Belum Terima Uang</t>
  </si>
  <si>
    <t>1. Header :</t>
  </si>
  <si>
    <t>Sudah Terbit</t>
  </si>
  <si>
    <t>Sudah Terima Uang</t>
  </si>
  <si>
    <t>DN-2609-004</t>
  </si>
  <si>
    <t>PT Saranabaja</t>
  </si>
  <si>
    <t>Belum Terbit</t>
  </si>
  <si>
    <t>2. Detail Saat Create Debit Note</t>
  </si>
  <si>
    <t>-</t>
  </si>
  <si>
    <t>Total Debit Note :</t>
  </si>
  <si>
    <t>(Tarik nilai dari modul claim)</t>
  </si>
  <si>
    <t>(Input Kurs untuk Mata Uang Non IDR)</t>
  </si>
  <si>
    <t>Total Debit Note (IDR) :</t>
  </si>
  <si>
    <t>(Nanti akan masuk ke menu Penerimaan Uang dari Supplier)</t>
  </si>
  <si>
    <t>Create Debt Note</t>
  </si>
  <si>
    <t>Konsep &amp; Simulasi Surat Jalan Retur</t>
  </si>
  <si>
    <t>No. SPK Repack</t>
  </si>
  <si>
    <t>Status SPK</t>
  </si>
  <si>
    <t>SPK-RP-260901</t>
  </si>
  <si>
    <t>COMPLETED</t>
  </si>
  <si>
    <t>SPK-RP-260902</t>
  </si>
  <si>
    <t>ON PROGRESS</t>
  </si>
  <si>
    <t>WAITING</t>
  </si>
  <si>
    <t>Create SPK</t>
  </si>
  <si>
    <t>Detail :</t>
  </si>
  <si>
    <t>Material Claim</t>
  </si>
  <si>
    <t>1. Galvalum 025
2. Galvalum 020</t>
  </si>
  <si>
    <t>1. Galvalum 025
2. Galvalum 014</t>
  </si>
  <si>
    <t>SPK-RP-260905</t>
  </si>
  <si>
    <t>(Auto Generate)</t>
  </si>
  <si>
    <t>(Select Tgl SPK)</t>
  </si>
  <si>
    <t>No. SPK Repack :</t>
  </si>
  <si>
    <t>Tgl Perintah Kerja :</t>
  </si>
  <si>
    <t>Confirm SJ</t>
  </si>
  <si>
    <t>Informasi Surat Jalan</t>
  </si>
  <si>
    <t>Create SJ</t>
  </si>
  <si>
    <t>Ket :</t>
  </si>
  <si>
    <t>1. Create SJ, untuk membuat Surat Jalan dari SPK Re-Pack yang sudah selesai</t>
  </si>
  <si>
    <t>2. Confirm SJ, untuk konfirmasi bahwa Surat Jalan diterima Supplier</t>
  </si>
  <si>
    <t>3. View, untuk melihat hasil input</t>
  </si>
  <si>
    <t>4. Print, Untuk print out Surat Jalan</t>
  </si>
  <si>
    <t>No. Surat Jalan</t>
  </si>
  <si>
    <t>SJ-01</t>
  </si>
  <si>
    <t>SJ-02</t>
  </si>
  <si>
    <t>Alamat :</t>
  </si>
  <si>
    <t>Driver :</t>
  </si>
  <si>
    <t>No.Polisi Truk :</t>
  </si>
  <si>
    <t>Status Surat Jalan</t>
  </si>
  <si>
    <t>WAITING SJ</t>
  </si>
  <si>
    <t>NOT CONFIRMED</t>
  </si>
  <si>
    <t>SJ CONFIRMED</t>
  </si>
  <si>
    <t>No. Surat Jalan :</t>
  </si>
  <si>
    <t>SJ-03</t>
  </si>
  <si>
    <t>Confirm SPK</t>
  </si>
  <si>
    <t>1. SPK Re-Pack untuk diretur ke Supplier (Modul SPK Re-Pack)</t>
  </si>
  <si>
    <t>2. Surat Jalan Retur (Berdasarkan SPK Re-Pack Retur) --&gt; Modul Surat Jalan Retur</t>
  </si>
  <si>
    <t>1. Create SPK, untuk membuat SPK Re-Pack ke Produksi sebelum dikirim</t>
  </si>
  <si>
    <t>2. Confirm SPK, untuk konfirmasi bahwa Material sudah Re-Pack</t>
  </si>
  <si>
    <t>4. Print, Untuk print out  SPK</t>
  </si>
  <si>
    <t>--&gt; Otomatis masuk ke List SPK Repack dan SJ Retur</t>
  </si>
  <si>
    <t>Retur</t>
  </si>
  <si>
    <t>Jenis Debit Note</t>
  </si>
  <si>
    <t>Total Price</t>
  </si>
  <si>
    <t>PT Zibo Internasional</t>
  </si>
  <si>
    <t>Penerimaan Uang dari Supplier</t>
  </si>
  <si>
    <t>[ Export ]</t>
  </si>
  <si>
    <t>Daftar debit note yang menunggu atau sudah diterima pembayarannya</t>
  </si>
  <si>
    <t>Total belum diterima</t>
  </si>
  <si>
    <t>Jalur retur</t>
  </si>
  <si>
    <t>Jalur kompensasi</t>
  </si>
  <si>
    <t>Diterima bulan ini</t>
  </si>
  <si>
    <t>Rp 184.500.000</t>
  </si>
  <si>
    <t>Rp 92.000.000</t>
  </si>
  <si>
    <t>Rp 92.500.000</t>
  </si>
  <si>
    <t>Rp 67.200.000</t>
  </si>
  <si>
    <t>[ Cari no. debit note / supplier... ]</t>
  </si>
  <si>
    <t>Semua jalur ▾</t>
  </si>
  <si>
    <t>Semua status ▾</t>
  </si>
  <si>
    <t>Tanggal: dd/mm/yyyy ▾</t>
  </si>
  <si>
    <t>Tanggal Terbit</t>
  </si>
  <si>
    <t>Jalur</t>
  </si>
  <si>
    <t>Nominal</t>
  </si>
  <si>
    <t>Aksi</t>
  </si>
  <si>
    <t>DN-KOMP-0231</t>
  </si>
  <si>
    <t>08 Sep 2026</t>
  </si>
  <si>
    <t>PT Krakatau Steel</t>
  </si>
  <si>
    <t>Belum diterima</t>
  </si>
  <si>
    <t>[ Konfirmasi terima ]</t>
  </si>
  <si>
    <t>DN-RETUR-0118</t>
  </si>
  <si>
    <t>07 Sep 2026</t>
  </si>
  <si>
    <t>DN-KOMP-0230</t>
  </si>
  <si>
    <t>05 Sep 2026</t>
  </si>
  <si>
    <t>Sudah diterima</t>
  </si>
  <si>
    <t>DN-RETUR-0117</t>
  </si>
  <si>
    <t>03 Sep 2026</t>
  </si>
  <si>
    <t>DN-KOMP-0229</t>
  </si>
  <si>
    <t>01 Sep 2026</t>
  </si>
  <si>
    <t>Catatan: baris pada tabel muncul otomatis saat task 'Terbitkan Debit Note Jalur Retur' / 'Jalur Kompensasi' selesai di proses sebelumnya. Sheet ini adalah wireframe mentah (bukan tampilan final) untuk simulasi alur.</t>
  </si>
  <si>
    <t>Konfirmasi Penerimaan Uang</t>
  </si>
  <si>
    <t>Jalur Retur</t>
  </si>
  <si>
    <t>REFERENSI PROSES</t>
  </si>
  <si>
    <t>No. claim material</t>
  </si>
  <si>
    <t>CLM-0092</t>
  </si>
  <si>
    <t>No. surat jalan</t>
  </si>
  <si>
    <t>SJ-2026-0455</t>
  </si>
  <si>
    <t>Material</t>
  </si>
  <si>
    <t>Coil SPHC 1.2mm, 2 koil</t>
  </si>
  <si>
    <t>Tanggal debit note terbit</t>
  </si>
  <si>
    <t>Nominal debit note</t>
  </si>
  <si>
    <t>DETAIL PENERIMAAN (diisi user)</t>
  </si>
  <si>
    <t>Tanggal diterima</t>
  </si>
  <si>
    <t>11/09/2026</t>
  </si>
  <si>
    <t>Rekening penerima</t>
  </si>
  <si>
    <t>BCA - 001 302 5567 (Rek. Operasional)</t>
  </si>
  <si>
    <t>Nominal diterima</t>
  </si>
  <si>
    <t>Bukti transfer</t>
  </si>
  <si>
    <t>[ Unggah file ]</t>
  </si>
  <si>
    <t>Catatan (opsional)</t>
  </si>
  <si>
    <t>PREVIEW JURNAL OTOMATIS</t>
  </si>
  <si>
    <t>(Db) Bank</t>
  </si>
  <si>
    <t>* Jika jalur = Kompensasi, jurnal otomatis berubah menjadi (Db) Bank / (Cr) Pendapatan</t>
  </si>
  <si>
    <t>[ Batal ]</t>
  </si>
  <si>
    <t>[ Konfirmasi &amp; Posting Jurnal ]</t>
  </si>
  <si>
    <t>Catatan: wireframe mentah untuk simulasi internal, bukan tampilan final UI/UX.</t>
  </si>
  <si>
    <t>Jalur Kompensasi</t>
  </si>
  <si>
    <t>CLM-0101</t>
  </si>
  <si>
    <t>No. list debit note (kompensasi)</t>
  </si>
  <si>
    <t>LDK-2026-0057</t>
  </si>
  <si>
    <t>Reject material - Coil HRC 2.0mm</t>
  </si>
  <si>
    <t>Rp 45.200.000</t>
  </si>
  <si>
    <t>* Jika jalur = Retur, jurnal otomatis berubah menjadi (Db) Bank / (Cr) Hutang</t>
  </si>
  <si>
    <t>(Cr) Debit Note</t>
  </si>
  <si>
    <t>DN-2609-005</t>
  </si>
  <si>
    <t>PT XYZ</t>
  </si>
  <si>
    <t>Sudah Alokasi ke Hutang</t>
  </si>
  <si>
    <t>Konsep Terbit Debit Note</t>
  </si>
  <si>
    <t>Penagihan Debit Note ke Supplier</t>
  </si>
  <si>
    <t>Debit note yang ditagihkan langsung ke supplier (bukan sebagai pengurang PO)</t>
  </si>
  <si>
    <t>DAFTAR DEBIT NOTE SIAP DITAGIH</t>
  </si>
  <si>
    <t>Jalur Asal</t>
  </si>
  <si>
    <t>DN-0231</t>
  </si>
  <si>
    <t>Belum ditagih</t>
  </si>
  <si>
    <t>[ Buat penagihan ]</t>
  </si>
  <si>
    <t>DN-0227</t>
  </si>
  <si>
    <t>DN-0225</t>
  </si>
  <si>
    <t>Sudah ditagih</t>
  </si>
  <si>
    <t>Jalur asal</t>
  </si>
  <si>
    <t>Info: Debit note ini tidak dialokasikan ke PO manapun. Tagihan dikirim langsung ke supplier dan otomatis muncul di menu Penerimaan Uang dari Supplier setelah diterbitkan.</t>
  </si>
  <si>
    <t>Tanggal jatuh tempo tagihan</t>
  </si>
  <si>
    <t>25/09/2026</t>
  </si>
  <si>
    <t>Catatan tagihan (opsional)</t>
  </si>
  <si>
    <t>[ Terbitkan Tagihan ]</t>
  </si>
  <si>
    <t>Catatan: setelah diterbitkan, baris ini otomatis muncul di sheet 01 - List Penerimaan (Jalur Kompensasi/Retur sesuai asal).</t>
  </si>
  <si>
    <t>DETAIL: BUAT PENAGIHAN - DN-0231 (PT Saranabaja)</t>
  </si>
  <si>
    <t>Jurnal :</t>
  </si>
  <si>
    <t>COA</t>
  </si>
  <si>
    <t>Debit</t>
  </si>
  <si>
    <t>Credit</t>
  </si>
  <si>
    <t>In Transit</t>
  </si>
  <si>
    <t>Konsep &amp; Simulasi Pembayaran PO menggunakan Debit Note</t>
  </si>
  <si>
    <t>1. Konsep Pembayaran PO menggunakan Debit Note</t>
  </si>
  <si>
    <t>Alokasi Debit Note :</t>
  </si>
  <si>
    <t>Nilai Debit Note :</t>
  </si>
  <si>
    <t>(Muncul sesuai Nilai Debit Note dipilih</t>
  </si>
  <si>
    <t>2. SImulasi Pembayaran PO menggunakan Debit Note</t>
  </si>
  <si>
    <t>PT. BAJA SEMESTA MANDIRI</t>
  </si>
  <si>
    <t>Tgl</t>
  </si>
  <si>
    <t>Harga</t>
  </si>
  <si>
    <t>Total</t>
  </si>
  <si>
    <t>PPN</t>
  </si>
  <si>
    <t>Sub Total</t>
  </si>
  <si>
    <t>PO AWAL</t>
  </si>
  <si>
    <t>DP</t>
  </si>
  <si>
    <t>Pengakuan PPN DP</t>
  </si>
  <si>
    <t>RECEIPT ITEM</t>
  </si>
  <si>
    <t>PRODUKSI</t>
  </si>
  <si>
    <t>FG</t>
  </si>
  <si>
    <t>DIKOMPENSASI 20%</t>
  </si>
  <si>
    <t>RETUR</t>
  </si>
  <si>
    <t>INC PPN</t>
  </si>
  <si>
    <t>TUKAR COIL</t>
  </si>
  <si>
    <t>SELISIH TIMBANGAN</t>
  </si>
  <si>
    <t>PELUNASAN</t>
  </si>
  <si>
    <t>Pot</t>
  </si>
  <si>
    <t>KB</t>
  </si>
  <si>
    <t>BELUM PPN</t>
  </si>
  <si>
    <t>Simulasi awal dari PO sampai akhirnya terbit Debit Note Kombinasi 2 jalur (Kompensasi dan Retur) Untuk dipakai ke Pembayaran</t>
  </si>
  <si>
    <t>1. PO</t>
  </si>
  <si>
    <t>Item</t>
  </si>
  <si>
    <t>Price Unit</t>
  </si>
  <si>
    <t>Coil A</t>
  </si>
  <si>
    <t>PPn :</t>
  </si>
  <si>
    <t>DPP :</t>
  </si>
  <si>
    <t>Total Price + PPn :</t>
  </si>
  <si>
    <t>DP :</t>
  </si>
  <si>
    <t>Nilai DP :</t>
  </si>
  <si>
    <t>Total Invoice :</t>
  </si>
  <si>
    <t>Kredit</t>
  </si>
  <si>
    <t>Hutang</t>
  </si>
  <si>
    <t>PPn</t>
  </si>
  <si>
    <t>3. Pembayaran DP</t>
  </si>
  <si>
    <t>2. Receive Invoice DP</t>
  </si>
  <si>
    <t>Total Bayar :</t>
  </si>
  <si>
    <t>Admin :</t>
  </si>
  <si>
    <t>Bank</t>
  </si>
  <si>
    <t>Admin</t>
  </si>
  <si>
    <t>Bank Admin</t>
  </si>
  <si>
    <t>4. Incoming Material Gudang</t>
  </si>
  <si>
    <t>Nilai Incoming :</t>
  </si>
  <si>
    <t>Total Incoming :</t>
  </si>
  <si>
    <t>Nilai/Unit :</t>
  </si>
  <si>
    <t>Inventory</t>
  </si>
  <si>
    <t>Unbill</t>
  </si>
  <si>
    <t>5. Input Laporan Produksi</t>
  </si>
  <si>
    <t>Kg</t>
  </si>
  <si>
    <t>KW 2 (Supplier) :</t>
  </si>
  <si>
    <t>Material Hold :</t>
  </si>
  <si>
    <t>--&gt; nilai tanpa ppn</t>
  </si>
  <si>
    <t>Hold Material</t>
  </si>
  <si>
    <t>Total Produksi</t>
  </si>
  <si>
    <t>Packing List</t>
  </si>
  <si>
    <t>Selisih</t>
  </si>
  <si>
    <t>HPP KW 2 :</t>
  </si>
  <si>
    <t>6. Proses Claim</t>
  </si>
  <si>
    <t>(Kasus HFG : Mengambil dari 20% dari nilai HPP Produksinya)</t>
  </si>
  <si>
    <t>Kompensasi 20% :</t>
  </si>
  <si>
    <t>(Sudah include PPn)</t>
  </si>
  <si>
    <t>Kompensasi 20% (tanpa PPn) :</t>
  </si>
  <si>
    <t>Value</t>
  </si>
  <si>
    <t>7. PO Baru, untuk Kedatangan Coil Baru (Tukar Coil)</t>
  </si>
  <si>
    <t>Debt Note (Kompensasi)</t>
  </si>
  <si>
    <t>Debt Note (Retur)</t>
  </si>
  <si>
    <t>Retur (In Transit)</t>
  </si>
  <si>
    <t>Total Produksi (tanpa PPn)</t>
  </si>
  <si>
    <t>Harga Beli/Kg</t>
  </si>
  <si>
    <t>9. Pembayaran DP</t>
  </si>
  <si>
    <t>10. Incoming Material Gudang</t>
  </si>
  <si>
    <t>8. Receive Invoice DP (PO Baru, hasil tukar coil)</t>
  </si>
  <si>
    <t>(Nilai Kompensasi tanpa PPn yang akan digunakan sebagai potongan bayar)</t>
  </si>
  <si>
    <t>Debit Note (Kompensasi)</t>
  </si>
  <si>
    <t>Debit Note (Retur)</t>
  </si>
  <si>
    <t>(Add Debit Note)</t>
  </si>
  <si>
    <t>PT Baja Semesta Mandiri</t>
  </si>
  <si>
    <t>Detail Process Decision :</t>
  </si>
  <si>
    <t>BSM-C001</t>
  </si>
  <si>
    <t>BSM-C002</t>
  </si>
  <si>
    <t>Karat</t>
  </si>
  <si>
    <t>"Kompensasi"</t>
  </si>
  <si>
    <t>Simulasi Claim Jalur Kompensasi</t>
  </si>
  <si>
    <t>Simulasi Claim Jalur Retur</t>
  </si>
  <si>
    <t>Bpk Andi (Contoh)</t>
  </si>
  <si>
    <t>B 1234 HFG</t>
  </si>
  <si>
    <t>3. Konfirmasi Surat Jalan Retur (sudah diterima supplier)</t>
  </si>
  <si>
    <t>Debit Note Retur</t>
  </si>
  <si>
    <t>DN-2609-006</t>
  </si>
  <si>
    <t>Surat Jalan</t>
  </si>
  <si>
    <t>1. Konsep dan Simulasi Debit Note dari Retur</t>
  </si>
  <si>
    <t>2. Konsep dan Simulasi Debit Note dari Kompensasi</t>
  </si>
  <si>
    <t>--&gt; Jika Retur, Otomatis tarik Detil Surat Jalan</t>
  </si>
  <si>
    <t>Debit Note Kompensasi</t>
  </si>
  <si>
    <t>Biaya KW 2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</si>
</sst>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[$USD]\ * #,##0.00_-;\-[$USD]\ * #,##0.00_-;_-[$USD]\ * &quot;-&quot;??_-;_-@_-"/>
    <numFmt numFmtId="165" formatCode="&quot;Rp&quot;\ #,##0"/>
    <numFmt numFmtId="166" formatCode="_(* #,##0.00_);_(* \(#,##0.00\);_(* &quot;-&quot;??_);_(@_)"/>
  </numFmts>
  <fonts count="57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scheme val="minor"/>
    </font>
    <font>
      <b/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7"/>
      <color rgb="FF212529"/>
      <name val="Roboto"/>
    </font>
    <font>
      <b/>
      <sz val="11"/>
      <color theme="0"/>
      <name val="Calibri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10"/>
      <color rgb="FF000000"/>
      <name val="Tahoma"/>
      <family val="2"/>
    </font>
    <font>
      <b/>
      <sz val="11"/>
      <color rgb="FF000000"/>
      <name val="Calibri"/>
      <family val="2"/>
    </font>
    <font>
      <b/>
      <sz val="10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color theme="1"/>
      <name val="Arial"/>
      <family val="2"/>
      <scheme val="minor"/>
    </font>
    <font>
      <b/>
      <sz val="16"/>
      <color rgb="FF1F2937"/>
      <name val="Arial"/>
      <family val="2"/>
    </font>
    <font>
      <b/>
      <sz val="10"/>
      <color rgb="FFFFFFFF"/>
      <name val="Arial"/>
      <family val="2"/>
    </font>
    <font>
      <i/>
      <sz val="10"/>
      <color rgb="FF9CA3AF"/>
      <name val="Arial"/>
      <family val="2"/>
    </font>
    <font>
      <sz val="9"/>
      <color rgb="FF9CA3AF"/>
      <name val="Arial"/>
      <family val="2"/>
    </font>
    <font>
      <b/>
      <sz val="13"/>
      <color rgb="FF1F2937"/>
      <name val="Arial"/>
      <family val="2"/>
    </font>
    <font>
      <sz val="9"/>
      <color rgb="FF1F2937"/>
      <name val="Arial"/>
      <family val="2"/>
    </font>
    <font>
      <sz val="10"/>
      <color rgb="FF1F2937"/>
      <name val="Arial"/>
      <family val="2"/>
    </font>
    <font>
      <sz val="10"/>
      <color rgb="FF9CA3AF"/>
      <name val="Arial"/>
      <family val="2"/>
    </font>
    <font>
      <b/>
      <sz val="9"/>
      <color rgb="FF6D28D9"/>
      <name val="Arial"/>
      <family val="2"/>
    </font>
    <font>
      <b/>
      <sz val="9"/>
      <color rgb="FF92400E"/>
      <name val="Arial"/>
      <family val="2"/>
    </font>
    <font>
      <b/>
      <sz val="9"/>
      <color rgb="FFFFFFFF"/>
      <name val="Arial"/>
      <family val="2"/>
    </font>
    <font>
      <b/>
      <sz val="9"/>
      <color rgb="FF2563EB"/>
      <name val="Arial"/>
      <family val="2"/>
    </font>
    <font>
      <b/>
      <sz val="9"/>
      <color rgb="FF15803D"/>
      <name val="Arial"/>
      <family val="2"/>
    </font>
    <font>
      <i/>
      <sz val="9"/>
      <color rgb="FF9CA3AF"/>
      <name val="Arial"/>
      <family val="2"/>
    </font>
    <font>
      <b/>
      <sz val="10"/>
      <color rgb="FF1F2937"/>
      <name val="Arial"/>
      <family val="2"/>
    </font>
    <font>
      <b/>
      <sz val="9"/>
      <color rgb="FF9CA3AF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9"/>
      <color indexed="81"/>
      <name val="Tahoma"/>
      <charset val="1"/>
    </font>
    <font>
      <b/>
      <sz val="16"/>
      <color rgb="FF1F2937"/>
      <name val="Arial"/>
    </font>
    <font>
      <i/>
      <sz val="10"/>
      <color rgb="FF9CA3AF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sz val="10"/>
      <color rgb="FF1F2937"/>
      <name val="Arial"/>
    </font>
    <font>
      <b/>
      <sz val="9"/>
      <color rgb="FF6D28D9"/>
      <name val="Arial"/>
    </font>
    <font>
      <b/>
      <sz val="9"/>
      <color rgb="FF92400E"/>
      <name val="Arial"/>
    </font>
    <font>
      <b/>
      <sz val="9"/>
      <color rgb="FFFFFFFF"/>
      <name val="Arial"/>
    </font>
    <font>
      <b/>
      <sz val="9"/>
      <color rgb="FF2563EB"/>
      <name val="Arial"/>
    </font>
    <font>
      <b/>
      <sz val="9"/>
      <color rgb="FF15803D"/>
      <name val="Arial"/>
    </font>
    <font>
      <sz val="9"/>
      <color rgb="FF9CA3AF"/>
      <name val="Arial"/>
    </font>
    <font>
      <sz val="10"/>
      <color rgb="FF9CA3AF"/>
      <name val="Arial"/>
    </font>
    <font>
      <b/>
      <sz val="10"/>
      <color rgb="FF1F2937"/>
      <name val="Arial"/>
    </font>
    <font>
      <sz val="9"/>
      <color rgb="FF15803D"/>
      <name val="Arial"/>
    </font>
    <font>
      <i/>
      <sz val="9"/>
      <color rgb="FF9CA3AF"/>
      <name val="Arial"/>
    </font>
    <font>
      <b/>
      <sz val="14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EDE9FE"/>
      </patternFill>
    </fill>
    <fill>
      <patternFill patternType="solid">
        <fgColor rgb="FFFEF3C7"/>
      </patternFill>
    </fill>
    <fill>
      <patternFill patternType="solid">
        <fgColor rgb="FF2563EB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FF9C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</cellStyleXfs>
  <cellXfs count="243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horizontal="right" vertical="top"/>
    </xf>
    <xf numFmtId="0" fontId="3" fillId="4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2" fillId="0" borderId="0" xfId="2" applyFont="1" applyAlignment="1">
      <alignment vertical="top"/>
    </xf>
    <xf numFmtId="0" fontId="1" fillId="0" borderId="0" xfId="2" applyFont="1" applyAlignment="1">
      <alignment vertical="top"/>
    </xf>
    <xf numFmtId="0" fontId="3" fillId="0" borderId="0" xfId="2" applyAlignment="1">
      <alignment vertical="top"/>
    </xf>
    <xf numFmtId="43" fontId="0" fillId="0" borderId="0" xfId="3" applyFont="1" applyAlignment="1">
      <alignment vertical="top"/>
    </xf>
    <xf numFmtId="43" fontId="1" fillId="0" borderId="0" xfId="3" applyFont="1" applyAlignment="1">
      <alignment vertical="top"/>
    </xf>
    <xf numFmtId="43" fontId="3" fillId="0" borderId="0" xfId="3" applyFont="1" applyAlignment="1">
      <alignment vertical="top"/>
    </xf>
    <xf numFmtId="0" fontId="2" fillId="0" borderId="0" xfId="2" applyFont="1" applyAlignment="1">
      <alignment horizontal="right" vertical="top"/>
    </xf>
    <xf numFmtId="0" fontId="3" fillId="5" borderId="0" xfId="2" applyFill="1" applyAlignment="1">
      <alignment vertical="top"/>
    </xf>
    <xf numFmtId="0" fontId="2" fillId="0" borderId="1" xfId="2" applyFont="1" applyBorder="1" applyAlignment="1">
      <alignment horizontal="center" vertical="top"/>
    </xf>
    <xf numFmtId="43" fontId="2" fillId="0" borderId="1" xfId="3" applyFont="1" applyBorder="1" applyAlignment="1">
      <alignment horizontal="center" vertical="top"/>
    </xf>
    <xf numFmtId="14" fontId="3" fillId="5" borderId="1" xfId="2" applyNumberFormat="1" applyFill="1" applyBorder="1" applyAlignment="1">
      <alignment horizontal="center" vertical="top"/>
    </xf>
    <xf numFmtId="0" fontId="6" fillId="5" borderId="1" xfId="2" applyFont="1" applyFill="1" applyBorder="1" applyAlignment="1">
      <alignment horizontal="center" vertical="top"/>
    </xf>
    <xf numFmtId="20" fontId="6" fillId="2" borderId="1" xfId="2" applyNumberFormat="1" applyFont="1" applyFill="1" applyBorder="1" applyAlignment="1">
      <alignment horizontal="center" vertical="top"/>
    </xf>
    <xf numFmtId="0" fontId="3" fillId="5" borderId="1" xfId="2" applyFill="1" applyBorder="1" applyAlignment="1">
      <alignment horizontal="center" vertical="top" wrapText="1"/>
    </xf>
    <xf numFmtId="4" fontId="3" fillId="7" borderId="1" xfId="2" applyNumberFormat="1" applyFill="1" applyBorder="1" applyAlignment="1">
      <alignment horizontal="center" vertical="top"/>
    </xf>
    <xf numFmtId="0" fontId="2" fillId="0" borderId="0" xfId="2" applyFont="1" applyAlignment="1">
      <alignment horizontal="center" vertical="top"/>
    </xf>
    <xf numFmtId="0" fontId="3" fillId="0" borderId="0" xfId="2" applyAlignment="1">
      <alignment horizontal="center" vertical="top"/>
    </xf>
    <xf numFmtId="14" fontId="3" fillId="5" borderId="0" xfId="2" applyNumberFormat="1" applyFill="1" applyAlignment="1">
      <alignment horizontal="center" vertical="top"/>
    </xf>
    <xf numFmtId="0" fontId="3" fillId="2" borderId="1" xfId="2" applyFill="1" applyBorder="1" applyAlignment="1">
      <alignment horizontal="center" vertical="top"/>
    </xf>
    <xf numFmtId="10" fontId="3" fillId="8" borderId="1" xfId="4" applyNumberFormat="1" applyFont="1" applyFill="1" applyBorder="1" applyAlignment="1">
      <alignment horizontal="center" vertical="top" wrapText="1"/>
    </xf>
    <xf numFmtId="0" fontId="2" fillId="9" borderId="0" xfId="2" applyFont="1" applyFill="1" applyAlignment="1">
      <alignment horizontal="right" vertical="top"/>
    </xf>
    <xf numFmtId="0" fontId="2" fillId="10" borderId="0" xfId="2" applyFont="1" applyFill="1" applyAlignment="1">
      <alignment vertical="top"/>
    </xf>
    <xf numFmtId="0" fontId="5" fillId="11" borderId="0" xfId="2" applyFont="1" applyFill="1" applyAlignment="1">
      <alignment horizontal="center" vertical="top"/>
    </xf>
    <xf numFmtId="4" fontId="3" fillId="0" borderId="0" xfId="2" applyNumberFormat="1" applyAlignment="1">
      <alignment horizontal="center" vertical="top" wrapText="1"/>
    </xf>
    <xf numFmtId="0" fontId="5" fillId="3" borderId="0" xfId="2" applyFont="1" applyFill="1" applyAlignment="1">
      <alignment horizontal="right" vertical="top"/>
    </xf>
    <xf numFmtId="0" fontId="2" fillId="5" borderId="0" xfId="2" applyFont="1" applyFill="1" applyAlignment="1">
      <alignment vertical="top"/>
    </xf>
    <xf numFmtId="0" fontId="3" fillId="5" borderId="1" xfId="2" applyFill="1" applyBorder="1" applyAlignment="1">
      <alignment horizontal="center" vertical="top"/>
    </xf>
    <xf numFmtId="43" fontId="0" fillId="8" borderId="1" xfId="3" applyFont="1" applyFill="1" applyBorder="1" applyAlignment="1">
      <alignment horizontal="center" vertical="top"/>
    </xf>
    <xf numFmtId="0" fontId="3" fillId="0" borderId="0" xfId="2" quotePrefix="1" applyAlignment="1">
      <alignment vertical="top"/>
    </xf>
    <xf numFmtId="0" fontId="3" fillId="8" borderId="1" xfId="2" applyFill="1" applyBorder="1" applyAlignment="1">
      <alignment horizontal="center" vertical="top"/>
    </xf>
    <xf numFmtId="0" fontId="5" fillId="12" borderId="0" xfId="2" applyFont="1" applyFill="1" applyAlignment="1">
      <alignment horizontal="center" vertical="center"/>
    </xf>
    <xf numFmtId="43" fontId="3" fillId="8" borderId="1" xfId="3" applyFont="1" applyFill="1" applyBorder="1" applyAlignment="1">
      <alignment horizontal="center" vertical="top"/>
    </xf>
    <xf numFmtId="0" fontId="3" fillId="2" borderId="1" xfId="2" applyFill="1" applyBorder="1" applyAlignment="1">
      <alignment horizontal="center" vertical="top" wrapText="1"/>
    </xf>
    <xf numFmtId="0" fontId="7" fillId="0" borderId="0" xfId="2" quotePrefix="1" applyFont="1" applyAlignment="1">
      <alignment vertical="top"/>
    </xf>
    <xf numFmtId="0" fontId="8" fillId="0" borderId="0" xfId="2" quotePrefix="1" applyFont="1" applyAlignment="1">
      <alignment vertical="top"/>
    </xf>
    <xf numFmtId="0" fontId="3" fillId="2" borderId="0" xfId="2" applyFill="1" applyAlignment="1">
      <alignment vertical="top"/>
    </xf>
    <xf numFmtId="0" fontId="7" fillId="0" borderId="0" xfId="2" applyFont="1" applyAlignment="1">
      <alignment vertical="top"/>
    </xf>
    <xf numFmtId="0" fontId="9" fillId="13" borderId="1" xfId="2" applyFont="1" applyFill="1" applyBorder="1" applyAlignment="1">
      <alignment horizontal="center" vertical="center" wrapText="1"/>
    </xf>
    <xf numFmtId="43" fontId="9" fillId="13" borderId="1" xfId="3" applyFont="1" applyFill="1" applyBorder="1" applyAlignment="1">
      <alignment horizontal="center" vertical="center" wrapText="1"/>
    </xf>
    <xf numFmtId="4" fontId="3" fillId="8" borderId="1" xfId="2" applyNumberFormat="1" applyFill="1" applyBorder="1" applyAlignment="1">
      <alignment horizontal="center" vertical="top"/>
    </xf>
    <xf numFmtId="4" fontId="3" fillId="8" borderId="1" xfId="2" applyNumberFormat="1" applyFill="1" applyBorder="1" applyAlignment="1">
      <alignment horizontal="center" vertical="top" wrapText="1"/>
    </xf>
    <xf numFmtId="10" fontId="3" fillId="8" borderId="1" xfId="4" applyNumberFormat="1" applyFont="1" applyFill="1" applyBorder="1" applyAlignment="1">
      <alignment horizontal="center" vertical="top"/>
    </xf>
    <xf numFmtId="0" fontId="10" fillId="14" borderId="0" xfId="2" applyFont="1" applyFill="1" applyAlignment="1">
      <alignment horizontal="center" vertical="top"/>
    </xf>
    <xf numFmtId="0" fontId="10" fillId="11" borderId="0" xfId="2" applyFont="1" applyFill="1" applyAlignment="1">
      <alignment horizontal="center" vertical="top"/>
    </xf>
    <xf numFmtId="0" fontId="3" fillId="0" borderId="0" xfId="2"/>
    <xf numFmtId="0" fontId="11" fillId="0" borderId="0" xfId="2" applyFont="1" applyAlignment="1">
      <alignment vertical="top"/>
    </xf>
    <xf numFmtId="0" fontId="11" fillId="0" borderId="0" xfId="2" applyFont="1" applyAlignment="1">
      <alignment vertical="top" wrapText="1"/>
    </xf>
    <xf numFmtId="43" fontId="11" fillId="0" borderId="0" xfId="3" applyFont="1" applyAlignment="1">
      <alignment vertical="top"/>
    </xf>
    <xf numFmtId="43" fontId="11" fillId="0" borderId="0" xfId="3" applyFont="1" applyAlignment="1">
      <alignment vertical="top" wrapText="1"/>
    </xf>
    <xf numFmtId="0" fontId="14" fillId="0" borderId="0" xfId="2" applyFont="1" applyAlignment="1">
      <alignment vertical="top"/>
    </xf>
    <xf numFmtId="0" fontId="2" fillId="15" borderId="1" xfId="0" applyFont="1" applyFill="1" applyBorder="1" applyAlignment="1">
      <alignment horizontal="center" vertical="top" wrapText="1"/>
    </xf>
    <xf numFmtId="0" fontId="7" fillId="0" borderId="0" xfId="0" applyFont="1" applyAlignment="1">
      <alignment vertical="top"/>
    </xf>
    <xf numFmtId="0" fontId="0" fillId="7" borderId="1" xfId="0" applyFill="1" applyBorder="1" applyAlignment="1">
      <alignment vertical="top"/>
    </xf>
    <xf numFmtId="0" fontId="3" fillId="7" borderId="1" xfId="0" applyFont="1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8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0" fontId="5" fillId="12" borderId="0" xfId="0" applyFont="1" applyFill="1" applyAlignment="1">
      <alignment horizontal="center" vertical="top"/>
    </xf>
    <xf numFmtId="0" fontId="5" fillId="14" borderId="0" xfId="0" applyFont="1" applyFill="1" applyAlignment="1">
      <alignment horizontal="center" vertical="top"/>
    </xf>
    <xf numFmtId="0" fontId="0" fillId="7" borderId="1" xfId="0" applyFill="1" applyBorder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0" fillId="7" borderId="0" xfId="0" applyFill="1" applyAlignment="1">
      <alignment vertical="top" wrapText="1"/>
    </xf>
    <xf numFmtId="0" fontId="5" fillId="16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/>
    </xf>
    <xf numFmtId="0" fontId="2" fillId="0" borderId="0" xfId="0" applyFont="1" applyAlignment="1">
      <alignment horizontal="right" vertical="top"/>
    </xf>
    <xf numFmtId="43" fontId="0" fillId="0" borderId="1" xfId="1" applyFont="1" applyBorder="1" applyAlignment="1">
      <alignment vertical="top"/>
    </xf>
    <xf numFmtId="0" fontId="7" fillId="0" borderId="0" xfId="0" quotePrefix="1" applyFont="1" applyAlignment="1">
      <alignment vertical="top"/>
    </xf>
    <xf numFmtId="0" fontId="2" fillId="0" borderId="0" xfId="0" applyFont="1" applyAlignment="1">
      <alignment horizontal="center" vertical="top"/>
    </xf>
    <xf numFmtId="0" fontId="2" fillId="2" borderId="3" xfId="0" applyFont="1" applyFill="1" applyBorder="1" applyAlignment="1">
      <alignment horizontal="center" vertical="top" wrapText="1"/>
    </xf>
    <xf numFmtId="164" fontId="2" fillId="2" borderId="3" xfId="0" applyNumberFormat="1" applyFont="1" applyFill="1" applyBorder="1" applyAlignment="1">
      <alignment horizontal="center" vertical="top" wrapText="1"/>
    </xf>
    <xf numFmtId="15" fontId="0" fillId="0" borderId="1" xfId="0" applyNumberFormat="1" applyBorder="1" applyAlignment="1">
      <alignment vertical="top"/>
    </xf>
    <xf numFmtId="0" fontId="2" fillId="5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5" fillId="14" borderId="1" xfId="0" applyFont="1" applyFill="1" applyBorder="1" applyAlignment="1">
      <alignment horizontal="center" vertical="top"/>
    </xf>
    <xf numFmtId="0" fontId="5" fillId="11" borderId="1" xfId="0" applyFont="1" applyFill="1" applyBorder="1" applyAlignment="1">
      <alignment horizontal="center" vertical="top"/>
    </xf>
    <xf numFmtId="0" fontId="15" fillId="2" borderId="1" xfId="0" applyFont="1" applyFill="1" applyBorder="1" applyAlignment="1">
      <alignment horizontal="center" vertical="top"/>
    </xf>
    <xf numFmtId="0" fontId="5" fillId="17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18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right" vertical="top"/>
    </xf>
    <xf numFmtId="0" fontId="0" fillId="2" borderId="0" xfId="0" applyFill="1" applyAlignment="1">
      <alignment vertical="top"/>
    </xf>
    <xf numFmtId="43" fontId="0" fillId="2" borderId="0" xfId="1" applyFont="1" applyFill="1" applyAlignment="1">
      <alignment vertical="top"/>
    </xf>
    <xf numFmtId="43" fontId="0" fillId="8" borderId="0" xfId="1" applyFont="1" applyFill="1" applyAlignment="1">
      <alignment vertical="top"/>
    </xf>
    <xf numFmtId="15" fontId="3" fillId="0" borderId="1" xfId="0" applyNumberFormat="1" applyFont="1" applyBorder="1" applyAlignment="1">
      <alignment vertical="top" wrapText="1"/>
    </xf>
    <xf numFmtId="15" fontId="0" fillId="4" borderId="0" xfId="0" applyNumberFormat="1" applyFill="1" applyAlignment="1">
      <alignment vertical="top"/>
    </xf>
    <xf numFmtId="0" fontId="0" fillId="19" borderId="0" xfId="0" applyFill="1" applyAlignment="1">
      <alignment vertical="top"/>
    </xf>
    <xf numFmtId="0" fontId="17" fillId="0" borderId="0" xfId="5"/>
    <xf numFmtId="0" fontId="19" fillId="20" borderId="4" xfId="5" applyFont="1" applyFill="1" applyBorder="1" applyAlignment="1">
      <alignment horizontal="center" vertical="center"/>
    </xf>
    <xf numFmtId="0" fontId="21" fillId="21" borderId="4" xfId="5" applyFont="1" applyFill="1" applyBorder="1" applyAlignment="1">
      <alignment horizontal="left" vertical="center"/>
    </xf>
    <xf numFmtId="0" fontId="22" fillId="21" borderId="4" xfId="5" applyFont="1" applyFill="1" applyBorder="1" applyAlignment="1">
      <alignment horizontal="left" vertical="center"/>
    </xf>
    <xf numFmtId="0" fontId="23" fillId="22" borderId="4" xfId="5" applyFont="1" applyFill="1" applyBorder="1" applyAlignment="1">
      <alignment horizontal="left" vertical="center"/>
    </xf>
    <xf numFmtId="0" fontId="19" fillId="20" borderId="4" xfId="5" applyFont="1" applyFill="1" applyBorder="1" applyAlignment="1">
      <alignment horizontal="left" vertical="center"/>
    </xf>
    <xf numFmtId="0" fontId="24" fillId="0" borderId="4" xfId="5" applyFont="1" applyBorder="1"/>
    <xf numFmtId="0" fontId="25" fillId="0" borderId="4" xfId="5" applyFont="1" applyBorder="1"/>
    <xf numFmtId="0" fontId="26" fillId="23" borderId="4" xfId="5" applyFont="1" applyFill="1" applyBorder="1" applyAlignment="1">
      <alignment horizontal="center" vertical="center"/>
    </xf>
    <xf numFmtId="165" fontId="24" fillId="0" borderId="4" xfId="5" applyNumberFormat="1" applyFont="1" applyBorder="1" applyAlignment="1">
      <alignment horizontal="right" vertical="center"/>
    </xf>
    <xf numFmtId="0" fontId="27" fillId="24" borderId="4" xfId="5" applyFont="1" applyFill="1" applyBorder="1" applyAlignment="1">
      <alignment horizontal="center" vertical="center"/>
    </xf>
    <xf numFmtId="0" fontId="28" fillId="25" borderId="4" xfId="5" applyFont="1" applyFill="1" applyBorder="1" applyAlignment="1">
      <alignment horizontal="center" vertical="center"/>
    </xf>
    <xf numFmtId="0" fontId="29" fillId="26" borderId="4" xfId="5" applyFont="1" applyFill="1" applyBorder="1" applyAlignment="1">
      <alignment horizontal="center" vertical="center"/>
    </xf>
    <xf numFmtId="0" fontId="30" fillId="27" borderId="4" xfId="5" applyFont="1" applyFill="1" applyBorder="1" applyAlignment="1">
      <alignment horizontal="center" vertical="center"/>
    </xf>
    <xf numFmtId="0" fontId="21" fillId="0" borderId="4" xfId="5" applyFont="1" applyBorder="1" applyAlignment="1">
      <alignment horizontal="center" vertical="center"/>
    </xf>
    <xf numFmtId="0" fontId="31" fillId="0" borderId="0" xfId="5" applyFont="1" applyAlignment="1">
      <alignment horizontal="left" vertical="center"/>
    </xf>
    <xf numFmtId="0" fontId="24" fillId="0" borderId="0" xfId="5" applyFont="1" applyAlignment="1">
      <alignment horizontal="left" vertical="center"/>
    </xf>
    <xf numFmtId="165" fontId="24" fillId="26" borderId="4" xfId="5" applyNumberFormat="1" applyFont="1" applyFill="1" applyBorder="1" applyAlignment="1">
      <alignment horizontal="right" vertical="center"/>
    </xf>
    <xf numFmtId="0" fontId="32" fillId="21" borderId="4" xfId="5" applyFont="1" applyFill="1" applyBorder="1" applyAlignment="1">
      <alignment horizontal="center" vertical="center"/>
    </xf>
    <xf numFmtId="165" fontId="24" fillId="23" borderId="4" xfId="5" applyNumberFormat="1" applyFont="1" applyFill="1" applyBorder="1" applyAlignment="1">
      <alignment horizontal="right" vertical="center"/>
    </xf>
    <xf numFmtId="165" fontId="37" fillId="0" borderId="0" xfId="5" applyNumberFormat="1" applyFont="1" applyAlignment="1">
      <alignment horizontal="right" vertical="center"/>
    </xf>
    <xf numFmtId="0" fontId="35" fillId="21" borderId="1" xfId="5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top"/>
    </xf>
    <xf numFmtId="0" fontId="42" fillId="20" borderId="4" xfId="5" applyFont="1" applyFill="1" applyBorder="1" applyAlignment="1">
      <alignment horizontal="left"/>
    </xf>
    <xf numFmtId="0" fontId="42" fillId="20" borderId="4" xfId="5" applyFont="1" applyFill="1" applyBorder="1" applyAlignment="1">
      <alignment horizontal="center"/>
    </xf>
    <xf numFmtId="0" fontId="43" fillId="0" borderId="4" xfId="5" applyFont="1" applyBorder="1"/>
    <xf numFmtId="0" fontId="44" fillId="23" borderId="4" xfId="5" applyFont="1" applyFill="1" applyBorder="1" applyAlignment="1">
      <alignment horizontal="center"/>
    </xf>
    <xf numFmtId="165" fontId="17" fillId="0" borderId="4" xfId="5" applyNumberFormat="1" applyBorder="1" applyAlignment="1">
      <alignment horizontal="right"/>
    </xf>
    <xf numFmtId="0" fontId="45" fillId="24" borderId="4" xfId="5" applyFont="1" applyFill="1" applyBorder="1" applyAlignment="1">
      <alignment horizontal="center"/>
    </xf>
    <xf numFmtId="0" fontId="46" fillId="25" borderId="4" xfId="5" applyFont="1" applyFill="1" applyBorder="1" applyAlignment="1">
      <alignment horizontal="center"/>
    </xf>
    <xf numFmtId="0" fontId="47" fillId="26" borderId="4" xfId="5" applyFont="1" applyFill="1" applyBorder="1" applyAlignment="1">
      <alignment horizontal="center"/>
    </xf>
    <xf numFmtId="0" fontId="48" fillId="27" borderId="4" xfId="5" applyFont="1" applyFill="1" applyBorder="1" applyAlignment="1">
      <alignment horizontal="center"/>
    </xf>
    <xf numFmtId="0" fontId="49" fillId="0" borderId="4" xfId="5" applyFont="1" applyBorder="1" applyAlignment="1">
      <alignment horizontal="center"/>
    </xf>
    <xf numFmtId="0" fontId="43" fillId="0" borderId="0" xfId="5" applyFont="1" applyAlignment="1">
      <alignment horizontal="left" vertical="center"/>
    </xf>
    <xf numFmtId="0" fontId="51" fillId="21" borderId="4" xfId="5" applyFont="1" applyFill="1" applyBorder="1" applyAlignment="1">
      <alignment horizontal="center" vertical="center"/>
    </xf>
    <xf numFmtId="0" fontId="53" fillId="0" borderId="0" xfId="5" applyFont="1" applyAlignment="1">
      <alignment horizontal="left" vertical="center"/>
    </xf>
    <xf numFmtId="43" fontId="0" fillId="0" borderId="1" xfId="0" applyNumberFormat="1" applyBorder="1" applyAlignment="1">
      <alignment vertical="top"/>
    </xf>
    <xf numFmtId="0" fontId="3" fillId="0" borderId="1" xfId="0" applyFont="1" applyBorder="1" applyAlignment="1">
      <alignment horizontal="right" vertical="top"/>
    </xf>
    <xf numFmtId="0" fontId="19" fillId="20" borderId="4" xfId="5" applyFont="1" applyFill="1" applyBorder="1" applyAlignment="1">
      <alignment horizontal="center"/>
    </xf>
    <xf numFmtId="0" fontId="3" fillId="4" borderId="0" xfId="0" applyFont="1" applyFill="1" applyAlignment="1">
      <alignment horizontal="center" vertical="top"/>
    </xf>
    <xf numFmtId="0" fontId="3" fillId="10" borderId="0" xfId="0" applyFont="1" applyFill="1" applyAlignment="1">
      <alignment vertical="top"/>
    </xf>
    <xf numFmtId="43" fontId="3" fillId="10" borderId="0" xfId="0" applyNumberFormat="1" applyFont="1" applyFill="1" applyAlignment="1">
      <alignment vertical="top"/>
    </xf>
    <xf numFmtId="0" fontId="17" fillId="19" borderId="0" xfId="5" applyFill="1"/>
    <xf numFmtId="15" fontId="17" fillId="0" borderId="0" xfId="5" applyNumberFormat="1"/>
    <xf numFmtId="166" fontId="0" fillId="0" borderId="0" xfId="6" applyFont="1"/>
    <xf numFmtId="166" fontId="17" fillId="0" borderId="0" xfId="5" applyNumberFormat="1"/>
    <xf numFmtId="0" fontId="17" fillId="2" borderId="0" xfId="5" applyFill="1"/>
    <xf numFmtId="43" fontId="17" fillId="0" borderId="0" xfId="5" applyNumberFormat="1"/>
    <xf numFmtId="166" fontId="17" fillId="2" borderId="0" xfId="5" applyNumberFormat="1" applyFill="1"/>
    <xf numFmtId="0" fontId="55" fillId="0" borderId="0" xfId="5" applyFont="1"/>
    <xf numFmtId="166" fontId="55" fillId="0" borderId="0" xfId="5" applyNumberFormat="1" applyFont="1"/>
    <xf numFmtId="0" fontId="17" fillId="0" borderId="0" xfId="5" applyAlignment="1">
      <alignment horizontal="left"/>
    </xf>
    <xf numFmtId="0" fontId="17" fillId="0" borderId="0" xfId="5" applyAlignment="1">
      <alignment horizontal="center"/>
    </xf>
    <xf numFmtId="3" fontId="17" fillId="0" borderId="0" xfId="5" applyNumberFormat="1" applyAlignment="1">
      <alignment horizontal="left"/>
    </xf>
    <xf numFmtId="166" fontId="0" fillId="0" borderId="0" xfId="6" applyFont="1" applyAlignment="1">
      <alignment horizontal="left"/>
    </xf>
    <xf numFmtId="3" fontId="17" fillId="0" borderId="0" xfId="5" applyNumberFormat="1"/>
    <xf numFmtId="43" fontId="0" fillId="0" borderId="0" xfId="1" applyFont="1" applyAlignment="1">
      <alignment vertical="top"/>
    </xf>
    <xf numFmtId="43" fontId="0" fillId="0" borderId="0" xfId="0" applyNumberFormat="1" applyAlignment="1">
      <alignment vertical="top"/>
    </xf>
    <xf numFmtId="43" fontId="2" fillId="0" borderId="0" xfId="0" applyNumberFormat="1" applyFont="1" applyAlignment="1">
      <alignment vertical="top"/>
    </xf>
    <xf numFmtId="43" fontId="2" fillId="0" borderId="1" xfId="0" applyNumberFormat="1" applyFont="1" applyBorder="1" applyAlignment="1">
      <alignment vertical="top"/>
    </xf>
    <xf numFmtId="9" fontId="0" fillId="0" borderId="0" xfId="0" applyNumberFormat="1" applyAlignment="1">
      <alignment vertical="top"/>
    </xf>
    <xf numFmtId="0" fontId="3" fillId="0" borderId="1" xfId="0" applyFont="1" applyBorder="1" applyAlignment="1">
      <alignment horizontal="left" vertical="top"/>
    </xf>
    <xf numFmtId="43" fontId="2" fillId="0" borderId="0" xfId="1" applyFont="1" applyAlignment="1">
      <alignment vertical="top"/>
    </xf>
    <xf numFmtId="0" fontId="0" fillId="7" borderId="2" xfId="0" applyFill="1" applyBorder="1" applyAlignment="1">
      <alignment horizontal="center" vertical="top"/>
    </xf>
    <xf numFmtId="0" fontId="17" fillId="0" borderId="0" xfId="5" quotePrefix="1"/>
    <xf numFmtId="0" fontId="0" fillId="19" borderId="0" xfId="0" applyFill="1" applyAlignment="1">
      <alignment horizontal="center" vertical="top"/>
    </xf>
    <xf numFmtId="0" fontId="0" fillId="29" borderId="0" xfId="0" applyFill="1" applyAlignment="1">
      <alignment horizontal="center" vertical="top"/>
    </xf>
    <xf numFmtId="43" fontId="0" fillId="19" borderId="0" xfId="0" applyNumberFormat="1" applyFill="1" applyAlignment="1">
      <alignment horizontal="center" vertical="top"/>
    </xf>
    <xf numFmtId="43" fontId="0" fillId="29" borderId="0" xfId="0" applyNumberFormat="1" applyFill="1" applyAlignment="1">
      <alignment vertical="top"/>
    </xf>
    <xf numFmtId="43" fontId="3" fillId="0" borderId="1" xfId="1" applyFont="1" applyBorder="1" applyAlignment="1">
      <alignment vertical="top"/>
    </xf>
    <xf numFmtId="0" fontId="8" fillId="0" borderId="0" xfId="0" applyFont="1" applyAlignment="1">
      <alignment horizontal="right" vertical="top"/>
    </xf>
    <xf numFmtId="43" fontId="3" fillId="0" borderId="0" xfId="1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43" fontId="2" fillId="8" borderId="0" xfId="0" applyNumberFormat="1" applyFont="1" applyFill="1" applyAlignment="1">
      <alignment vertical="top"/>
    </xf>
    <xf numFmtId="0" fontId="3" fillId="0" borderId="1" xfId="0" applyFont="1" applyBorder="1" applyAlignment="1">
      <alignment horizontal="right" vertical="top" wrapText="1"/>
    </xf>
    <xf numFmtId="43" fontId="2" fillId="4" borderId="0" xfId="0" applyNumberFormat="1" applyFont="1" applyFill="1" applyAlignment="1">
      <alignment vertical="top"/>
    </xf>
    <xf numFmtId="0" fontId="5" fillId="11" borderId="0" xfId="0" applyFont="1" applyFill="1" applyAlignment="1">
      <alignment horizontal="center" vertical="top"/>
    </xf>
    <xf numFmtId="43" fontId="0" fillId="7" borderId="1" xfId="1" applyFont="1" applyFill="1" applyBorder="1" applyAlignment="1">
      <alignment horizontal="center" vertical="top"/>
    </xf>
    <xf numFmtId="0" fontId="3" fillId="7" borderId="1" xfId="0" applyFont="1" applyFill="1" applyBorder="1" applyAlignment="1">
      <alignment vertical="top" wrapText="1"/>
    </xf>
    <xf numFmtId="0" fontId="0" fillId="7" borderId="1" xfId="0" applyFill="1" applyBorder="1" applyAlignment="1">
      <alignment horizontal="center" vertical="top" wrapText="1"/>
    </xf>
    <xf numFmtId="43" fontId="2" fillId="2" borderId="3" xfId="0" applyNumberFormat="1" applyFont="1" applyFill="1" applyBorder="1" applyAlignment="1">
      <alignment horizontal="center" vertical="top" wrapText="1"/>
    </xf>
    <xf numFmtId="15" fontId="3" fillId="7" borderId="1" xfId="0" applyNumberFormat="1" applyFont="1" applyFill="1" applyBorder="1" applyAlignment="1">
      <alignment vertical="top"/>
    </xf>
    <xf numFmtId="43" fontId="0" fillId="7" borderId="1" xfId="1" applyFont="1" applyFill="1" applyBorder="1" applyAlignment="1">
      <alignment vertical="top"/>
    </xf>
    <xf numFmtId="43" fontId="0" fillId="7" borderId="1" xfId="0" applyNumberFormat="1" applyFill="1" applyBorder="1" applyAlignment="1">
      <alignment horizontal="center" vertical="top"/>
    </xf>
    <xf numFmtId="43" fontId="0" fillId="7" borderId="2" xfId="1" applyFont="1" applyFill="1" applyBorder="1" applyAlignment="1">
      <alignment horizontal="center" vertical="top"/>
    </xf>
    <xf numFmtId="43" fontId="0" fillId="0" borderId="1" xfId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7" borderId="2" xfId="0" applyFill="1" applyBorder="1" applyAlignment="1">
      <alignment horizontal="left" vertical="top" wrapText="1"/>
    </xf>
    <xf numFmtId="43" fontId="2" fillId="19" borderId="3" xfId="1" applyFont="1" applyFill="1" applyBorder="1" applyAlignment="1">
      <alignment horizontal="center" vertical="top" wrapText="1"/>
    </xf>
    <xf numFmtId="0" fontId="56" fillId="11" borderId="0" xfId="0" applyFont="1" applyFill="1" applyAlignment="1">
      <alignment horizontal="center" vertical="top"/>
    </xf>
    <xf numFmtId="0" fontId="17" fillId="0" borderId="0" xfId="5" applyAlignment="1">
      <alignment horizontal="center"/>
    </xf>
    <xf numFmtId="0" fontId="54" fillId="0" borderId="0" xfId="5" applyFont="1" applyAlignment="1">
      <alignment horizontal="center"/>
    </xf>
    <xf numFmtId="0" fontId="17" fillId="0" borderId="0" xfId="5" applyAlignment="1">
      <alignment horizontal="left"/>
    </xf>
    <xf numFmtId="0" fontId="2" fillId="0" borderId="1" xfId="2" applyFont="1" applyBorder="1" applyAlignment="1">
      <alignment horizontal="center" vertical="top"/>
    </xf>
    <xf numFmtId="43" fontId="3" fillId="0" borderId="0" xfId="3" applyFont="1" applyAlignment="1">
      <alignment horizontal="left" vertical="top" wrapText="1"/>
    </xf>
    <xf numFmtId="0" fontId="5" fillId="6" borderId="1" xfId="2" applyFont="1" applyFill="1" applyBorder="1" applyAlignment="1">
      <alignment horizontal="center" vertical="top"/>
    </xf>
    <xf numFmtId="43" fontId="1" fillId="0" borderId="0" xfId="3" applyFont="1" applyAlignment="1">
      <alignment horizontal="left" vertical="top"/>
    </xf>
    <xf numFmtId="43" fontId="3" fillId="0" borderId="0" xfId="3" applyFont="1" applyAlignment="1">
      <alignment horizontal="left" vertical="top"/>
    </xf>
    <xf numFmtId="43" fontId="0" fillId="0" borderId="0" xfId="3" applyFont="1" applyAlignment="1">
      <alignment horizontal="left" vertical="top"/>
    </xf>
    <xf numFmtId="0" fontId="15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6" fillId="8" borderId="1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2" fillId="8" borderId="1" xfId="0" applyFont="1" applyFill="1" applyBorder="1" applyAlignment="1">
      <alignment horizontal="center" vertical="top"/>
    </xf>
    <xf numFmtId="0" fontId="42" fillId="20" borderId="4" xfId="5" applyFont="1" applyFill="1" applyBorder="1" applyAlignment="1">
      <alignment horizontal="center" vertical="center"/>
    </xf>
    <xf numFmtId="0" fontId="17" fillId="20" borderId="4" xfId="5" applyFill="1" applyBorder="1"/>
    <xf numFmtId="0" fontId="43" fillId="28" borderId="4" xfId="5" applyFont="1" applyFill="1" applyBorder="1" applyAlignment="1">
      <alignment horizontal="left" vertical="center"/>
    </xf>
    <xf numFmtId="0" fontId="17" fillId="28" borderId="4" xfId="5" applyFill="1" applyBorder="1"/>
    <xf numFmtId="0" fontId="50" fillId="21" borderId="4" xfId="5" applyFont="1" applyFill="1" applyBorder="1" applyAlignment="1">
      <alignment horizontal="left" vertical="center"/>
    </xf>
    <xf numFmtId="0" fontId="17" fillId="21" borderId="4" xfId="5" applyFill="1" applyBorder="1"/>
    <xf numFmtId="0" fontId="51" fillId="21" borderId="4" xfId="5" applyFont="1" applyFill="1" applyBorder="1" applyAlignment="1">
      <alignment horizontal="right" vertical="center"/>
    </xf>
    <xf numFmtId="165" fontId="51" fillId="21" borderId="4" xfId="5" applyNumberFormat="1" applyFont="1" applyFill="1" applyBorder="1" applyAlignment="1">
      <alignment horizontal="right" vertical="center"/>
    </xf>
    <xf numFmtId="0" fontId="52" fillId="27" borderId="4" xfId="5" applyFont="1" applyFill="1" applyBorder="1" applyAlignment="1">
      <alignment horizontal="left" vertical="center" wrapText="1"/>
    </xf>
    <xf numFmtId="0" fontId="17" fillId="27" borderId="4" xfId="5" applyFill="1" applyBorder="1"/>
    <xf numFmtId="0" fontId="39" fillId="0" borderId="0" xfId="5" applyFont="1" applyAlignment="1">
      <alignment horizontal="left" vertical="center"/>
    </xf>
    <xf numFmtId="0" fontId="17" fillId="0" borderId="0" xfId="5"/>
    <xf numFmtId="0" fontId="40" fillId="0" borderId="0" xfId="5" applyFont="1" applyAlignment="1">
      <alignment horizontal="left" vertical="center"/>
    </xf>
    <xf numFmtId="0" fontId="41" fillId="20" borderId="0" xfId="5" applyFont="1" applyFill="1" applyAlignment="1">
      <alignment horizontal="left" vertical="center"/>
    </xf>
    <xf numFmtId="0" fontId="17" fillId="20" borderId="0" xfId="5" applyFill="1"/>
    <xf numFmtId="0" fontId="18" fillId="0" borderId="0" xfId="5" applyFont="1" applyAlignment="1">
      <alignment horizontal="left" vertical="center"/>
    </xf>
    <xf numFmtId="0" fontId="19" fillId="20" borderId="4" xfId="5" applyFont="1" applyFill="1" applyBorder="1" applyAlignment="1">
      <alignment horizontal="center" vertical="center"/>
    </xf>
    <xf numFmtId="0" fontId="20" fillId="0" borderId="0" xfId="5" applyFont="1" applyAlignment="1">
      <alignment horizontal="left" vertical="center"/>
    </xf>
    <xf numFmtId="0" fontId="21" fillId="21" borderId="4" xfId="5" applyFont="1" applyFill="1" applyBorder="1" applyAlignment="1">
      <alignment horizontal="left" vertical="center"/>
    </xf>
    <xf numFmtId="0" fontId="22" fillId="21" borderId="4" xfId="5" applyFont="1" applyFill="1" applyBorder="1" applyAlignment="1">
      <alignment horizontal="left" vertical="center"/>
    </xf>
    <xf numFmtId="0" fontId="21" fillId="22" borderId="4" xfId="5" applyFont="1" applyFill="1" applyBorder="1" applyAlignment="1">
      <alignment horizontal="left" vertical="center"/>
    </xf>
    <xf numFmtId="0" fontId="17" fillId="22" borderId="4" xfId="5" applyFill="1" applyBorder="1"/>
    <xf numFmtId="0" fontId="23" fillId="22" borderId="4" xfId="5" applyFont="1" applyFill="1" applyBorder="1" applyAlignment="1">
      <alignment horizontal="left" vertical="center"/>
    </xf>
    <xf numFmtId="0" fontId="24" fillId="28" borderId="4" xfId="5" applyFont="1" applyFill="1" applyBorder="1" applyAlignment="1">
      <alignment horizontal="left" vertical="center"/>
    </xf>
    <xf numFmtId="0" fontId="32" fillId="0" borderId="0" xfId="5" applyFont="1" applyAlignment="1">
      <alignment horizontal="left" vertical="center"/>
    </xf>
    <xf numFmtId="0" fontId="34" fillId="0" borderId="0" xfId="5" applyFont="1" applyAlignment="1">
      <alignment horizontal="left" vertical="center"/>
    </xf>
    <xf numFmtId="0" fontId="11" fillId="21" borderId="1" xfId="5" applyFont="1" applyFill="1" applyBorder="1" applyAlignment="1">
      <alignment horizontal="left" vertical="center"/>
    </xf>
    <xf numFmtId="0" fontId="17" fillId="21" borderId="1" xfId="5" applyFill="1" applyBorder="1"/>
    <xf numFmtId="0" fontId="36" fillId="0" borderId="0" xfId="5" applyFont="1" applyAlignment="1">
      <alignment horizontal="left" vertical="center"/>
    </xf>
    <xf numFmtId="0" fontId="33" fillId="0" borderId="0" xfId="5" applyFont="1" applyAlignment="1">
      <alignment horizontal="left" vertical="center"/>
    </xf>
    <xf numFmtId="165" fontId="24" fillId="28" borderId="4" xfId="5" applyNumberFormat="1" applyFont="1" applyFill="1" applyBorder="1" applyAlignment="1">
      <alignment horizontal="left" vertical="center"/>
    </xf>
    <xf numFmtId="0" fontId="29" fillId="26" borderId="4" xfId="5" applyFont="1" applyFill="1" applyBorder="1" applyAlignment="1">
      <alignment horizontal="left" vertical="center"/>
    </xf>
    <xf numFmtId="0" fontId="17" fillId="26" borderId="4" xfId="5" applyFill="1" applyBorder="1"/>
    <xf numFmtId="0" fontId="24" fillId="26" borderId="4" xfId="5" applyFont="1" applyFill="1" applyBorder="1" applyAlignment="1">
      <alignment horizontal="left" vertical="center"/>
    </xf>
    <xf numFmtId="0" fontId="26" fillId="23" borderId="4" xfId="5" applyFont="1" applyFill="1" applyBorder="1" applyAlignment="1">
      <alignment horizontal="left" vertical="center"/>
    </xf>
    <xf numFmtId="0" fontId="17" fillId="23" borderId="4" xfId="5" applyFill="1" applyBorder="1"/>
    <xf numFmtId="0" fontId="24" fillId="23" borderId="4" xfId="5" applyFont="1" applyFill="1" applyBorder="1" applyAlignment="1">
      <alignment horizontal="left" vertical="center"/>
    </xf>
  </cellXfs>
  <cellStyles count="7">
    <cellStyle name="Comma" xfId="1" builtinId="3"/>
    <cellStyle name="Comma 2" xfId="3" xr:uid="{0DAD9786-6E37-4F8A-A7B5-2BDBA49373AB}"/>
    <cellStyle name="Comma 3" xfId="6" xr:uid="{DE166E63-EA88-409A-8DCE-5D40C26F1022}"/>
    <cellStyle name="Normal" xfId="0" builtinId="0"/>
    <cellStyle name="Normal 2" xfId="2" xr:uid="{05D7DC0B-0424-4FF7-AE9A-652606836BE4}"/>
    <cellStyle name="Normal 3" xfId="5" xr:uid="{D94D033F-A9F5-439F-B455-A8697DDCE0B2}"/>
    <cellStyle name="Percent 2" xfId="4" xr:uid="{0EBBE3D7-980F-4F35-AC45-9FBD3D9589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612587</xdr:colOff>
      <xdr:row>1</xdr:row>
      <xdr:rowOff>7471</xdr:rowOff>
    </xdr:from>
    <xdr:to>
      <xdr:col>19</xdr:col>
      <xdr:colOff>433294</xdr:colOff>
      <xdr:row>50</xdr:row>
      <xdr:rowOff>10317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FB5D94-B1A7-4EAE-85EF-21B5E90D4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587" y="171824"/>
          <a:ext cx="11459883" cy="76900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971550</xdr:colOff>
      <xdr:row>16</xdr:row>
      <xdr:rowOff>19050</xdr:rowOff>
    </xdr:from>
    <xdr:to>
      <xdr:col>11</xdr:col>
      <xdr:colOff>66675</xdr:colOff>
      <xdr:row>24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B1590AF-9FE8-4154-B69C-17AD6C1F3A93}"/>
            </a:ext>
          </a:extLst>
        </xdr:cNvPr>
        <xdr:cNvSpPr txBox="1"/>
      </xdr:nvSpPr>
      <xdr:spPr>
        <a:xfrm>
          <a:off x="6619875" y="2962275"/>
          <a:ext cx="3914775" cy="1457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100"/>
            <a:t>Kasus :</a:t>
          </a:r>
          <a:br>
            <a:rPr lang="id-ID" sz="1100"/>
          </a:br>
          <a:r>
            <a:rPr lang="id-ID" sz="1100"/>
            <a:t>1. HFG Beli Coil 3.806 Kg</a:t>
          </a:r>
          <a:br>
            <a:rPr lang="id-ID" sz="1100"/>
          </a:br>
          <a:r>
            <a:rPr lang="id-ID" sz="1100"/>
            <a:t>2. 681 Kg sudah terlanjur</a:t>
          </a:r>
          <a:r>
            <a:rPr lang="id-ID" sz="1100" baseline="0"/>
            <a:t> diproduksi</a:t>
          </a:r>
          <a:br>
            <a:rPr lang="id-ID" sz="1100" baseline="0"/>
          </a:br>
          <a:r>
            <a:rPr lang="id-ID" sz="1100" baseline="0"/>
            <a:t>3. Sisanya (3125 Kg) dikembalikan ke Suppllier</a:t>
          </a:r>
          <a:br>
            <a:rPr lang="id-ID" sz="1100" baseline="0"/>
          </a:br>
          <a:r>
            <a:rPr lang="id-ID" sz="1100" baseline="0"/>
            <a:t>4. HFG minta ganti rugi ke supplier</a:t>
          </a:r>
          <a:br>
            <a:rPr lang="id-ID" sz="1100" baseline="0"/>
          </a:br>
          <a:r>
            <a:rPr lang="id-ID" sz="1100" baseline="0"/>
            <a:t>5. Supplier kirim balik material full, tapi beratnya lebih besar</a:t>
          </a:r>
          <a:endParaRPr lang="id-ID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0</xdr:rowOff>
    </xdr:from>
    <xdr:ext cx="9067687" cy="4725221"/>
    <xdr:pic>
      <xdr:nvPicPr>
        <xdr:cNvPr id="2" name="Picture 1">
          <a:extLst>
            <a:ext uri="{FF2B5EF4-FFF2-40B4-BE49-F238E27FC236}">
              <a16:creationId xmlns:a16="http://schemas.microsoft.com/office/drawing/2014/main" id="{76452D0D-33F8-4374-A1E4-9B2389801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778" y="508000"/>
          <a:ext cx="9067687" cy="4725221"/>
        </a:xfrm>
        <a:prstGeom prst="rect">
          <a:avLst/>
        </a:prstGeom>
      </xdr:spPr>
    </xdr:pic>
    <xdr:clientData/>
  </xdr:oneCellAnchor>
  <xdr:twoCellAnchor>
    <xdr:from>
      <xdr:col>1</xdr:col>
      <xdr:colOff>164354</xdr:colOff>
      <xdr:row>8</xdr:row>
      <xdr:rowOff>113305</xdr:rowOff>
    </xdr:from>
    <xdr:to>
      <xdr:col>3</xdr:col>
      <xdr:colOff>386688</xdr:colOff>
      <xdr:row>10</xdr:row>
      <xdr:rowOff>76408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A28ADAE-F040-473A-92AF-1A366BB93007}"/>
            </a:ext>
          </a:extLst>
        </xdr:cNvPr>
        <xdr:cNvSpPr/>
      </xdr:nvSpPr>
      <xdr:spPr>
        <a:xfrm>
          <a:off x="771132" y="1432694"/>
          <a:ext cx="1435889" cy="287658"/>
        </a:xfrm>
        <a:prstGeom prst="rect">
          <a:avLst/>
        </a:prstGeom>
        <a:solidFill>
          <a:schemeClr val="bg2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Gudang Produki 2</a:t>
          </a:r>
        </a:p>
      </xdr:txBody>
    </xdr:sp>
    <xdr:clientData/>
  </xdr:twoCellAnchor>
  <xdr:twoCellAnchor>
    <xdr:from>
      <xdr:col>1</xdr:col>
      <xdr:colOff>52294</xdr:colOff>
      <xdr:row>4</xdr:row>
      <xdr:rowOff>58521</xdr:rowOff>
    </xdr:from>
    <xdr:to>
      <xdr:col>4</xdr:col>
      <xdr:colOff>152317</xdr:colOff>
      <xdr:row>6</xdr:row>
      <xdr:rowOff>7057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5003AC5-72E7-45AA-A5C3-C8B6F960E0B7}"/>
            </a:ext>
          </a:extLst>
        </xdr:cNvPr>
        <xdr:cNvSpPr/>
      </xdr:nvSpPr>
      <xdr:spPr>
        <a:xfrm>
          <a:off x="659072" y="728799"/>
          <a:ext cx="1920356" cy="273091"/>
        </a:xfrm>
        <a:prstGeom prst="rect">
          <a:avLst/>
        </a:prstGeom>
        <a:solidFill>
          <a:schemeClr val="bg2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d-ID" sz="1050" b="1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Stock at</a:t>
          </a:r>
          <a:r>
            <a:rPr lang="id-ID" sz="1050" b="1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WIP</a:t>
          </a:r>
          <a:endParaRPr lang="id-ID" sz="1050" b="1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3</xdr:col>
      <xdr:colOff>571917</xdr:colOff>
      <xdr:row>8</xdr:row>
      <xdr:rowOff>129905</xdr:rowOff>
    </xdr:from>
    <xdr:to>
      <xdr:col>6</xdr:col>
      <xdr:colOff>187471</xdr:colOff>
      <xdr:row>10</xdr:row>
      <xdr:rowOff>93008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DFD3DBA-6D5F-4EBA-AF15-27DE79ADC0D6}"/>
            </a:ext>
          </a:extLst>
        </xdr:cNvPr>
        <xdr:cNvSpPr/>
      </xdr:nvSpPr>
      <xdr:spPr>
        <a:xfrm>
          <a:off x="2392250" y="1449294"/>
          <a:ext cx="1435888" cy="287658"/>
        </a:xfrm>
        <a:prstGeom prst="rect">
          <a:avLst/>
        </a:prstGeom>
        <a:solidFill>
          <a:schemeClr val="bg2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WIP</a:t>
          </a:r>
        </a:p>
      </xdr:txBody>
    </xdr:sp>
    <xdr:clientData/>
  </xdr:twoCellAnchor>
  <xdr:twoCellAnchor>
    <xdr:from>
      <xdr:col>8</xdr:col>
      <xdr:colOff>181369</xdr:colOff>
      <xdr:row>6</xdr:row>
      <xdr:rowOff>100438</xdr:rowOff>
    </xdr:from>
    <xdr:to>
      <xdr:col>9</xdr:col>
      <xdr:colOff>52015</xdr:colOff>
      <xdr:row>8</xdr:row>
      <xdr:rowOff>143114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87284411-DE28-4FC2-BCBD-E561E984E4EC}"/>
            </a:ext>
          </a:extLst>
        </xdr:cNvPr>
        <xdr:cNvSpPr/>
      </xdr:nvSpPr>
      <xdr:spPr>
        <a:xfrm>
          <a:off x="5035591" y="1095271"/>
          <a:ext cx="477424" cy="367232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6</xdr:col>
      <xdr:colOff>261054</xdr:colOff>
      <xdr:row>8</xdr:row>
      <xdr:rowOff>141111</xdr:rowOff>
    </xdr:from>
    <xdr:to>
      <xdr:col>8</xdr:col>
      <xdr:colOff>483387</xdr:colOff>
      <xdr:row>10</xdr:row>
      <xdr:rowOff>104214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801A0CC-9AAC-44DD-9E49-F909C44C52FE}"/>
            </a:ext>
          </a:extLst>
        </xdr:cNvPr>
        <xdr:cNvSpPr/>
      </xdr:nvSpPr>
      <xdr:spPr>
        <a:xfrm>
          <a:off x="3901721" y="1460500"/>
          <a:ext cx="1435888" cy="287658"/>
        </a:xfrm>
        <a:prstGeom prst="rect">
          <a:avLst/>
        </a:prstGeom>
        <a:solidFill>
          <a:schemeClr val="bg2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Material</a:t>
          </a:r>
          <a:r>
            <a:rPr lang="id-ID" sz="9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On Hold</a:t>
          </a:r>
          <a:endParaRPr lang="id-ID" sz="900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15</xdr:col>
      <xdr:colOff>303388</xdr:colOff>
      <xdr:row>17</xdr:row>
      <xdr:rowOff>127416</xdr:rowOff>
    </xdr:from>
    <xdr:to>
      <xdr:col>16</xdr:col>
      <xdr:colOff>500945</xdr:colOff>
      <xdr:row>20</xdr:row>
      <xdr:rowOff>78027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88CA03A-827F-4883-A718-8A3AF059A42C}"/>
            </a:ext>
          </a:extLst>
        </xdr:cNvPr>
        <xdr:cNvSpPr/>
      </xdr:nvSpPr>
      <xdr:spPr>
        <a:xfrm>
          <a:off x="9492212" y="2831769"/>
          <a:ext cx="810145" cy="42125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000" b="1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Status</a:t>
          </a:r>
        </a:p>
      </xdr:txBody>
    </xdr:sp>
    <xdr:clientData/>
  </xdr:twoCellAnchor>
  <xdr:twoCellAnchor>
    <xdr:from>
      <xdr:col>15</xdr:col>
      <xdr:colOff>350702</xdr:colOff>
      <xdr:row>21</xdr:row>
      <xdr:rowOff>125755</xdr:rowOff>
    </xdr:from>
    <xdr:to>
      <xdr:col>16</xdr:col>
      <xdr:colOff>470647</xdr:colOff>
      <xdr:row>25</xdr:row>
      <xdr:rowOff>59764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89CE960-5D76-4A06-879B-066A3DE8E496}"/>
            </a:ext>
          </a:extLst>
        </xdr:cNvPr>
        <xdr:cNvSpPr/>
      </xdr:nvSpPr>
      <xdr:spPr>
        <a:xfrm>
          <a:off x="9539526" y="3457637"/>
          <a:ext cx="732533" cy="561539"/>
        </a:xfrm>
        <a:prstGeom prst="rect">
          <a:avLst/>
        </a:prstGeom>
        <a:solidFill>
          <a:schemeClr val="bg2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HOLD</a:t>
          </a:r>
        </a:p>
      </xdr:txBody>
    </xdr:sp>
    <xdr:clientData/>
  </xdr:twoCellAnchor>
  <xdr:twoCellAnchor>
    <xdr:from>
      <xdr:col>15</xdr:col>
      <xdr:colOff>358587</xdr:colOff>
      <xdr:row>27</xdr:row>
      <xdr:rowOff>119530</xdr:rowOff>
    </xdr:from>
    <xdr:to>
      <xdr:col>16</xdr:col>
      <xdr:colOff>478532</xdr:colOff>
      <xdr:row>31</xdr:row>
      <xdr:rowOff>82176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D1E42F8-E000-4EA6-A06F-FB1B064E532F}"/>
            </a:ext>
          </a:extLst>
        </xdr:cNvPr>
        <xdr:cNvSpPr/>
      </xdr:nvSpPr>
      <xdr:spPr>
        <a:xfrm>
          <a:off x="9547411" y="4392706"/>
          <a:ext cx="732533" cy="590176"/>
        </a:xfrm>
        <a:prstGeom prst="rect">
          <a:avLst/>
        </a:prstGeom>
        <a:solidFill>
          <a:schemeClr val="bg2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HOLD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134056</xdr:colOff>
      <xdr:row>48</xdr:row>
      <xdr:rowOff>27450</xdr:rowOff>
    </xdr:from>
    <xdr:to>
      <xdr:col>4</xdr:col>
      <xdr:colOff>303391</xdr:colOff>
      <xdr:row>49</xdr:row>
      <xdr:rowOff>112117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DB88DFB0-7736-4C57-B620-38960E1CED38}"/>
            </a:ext>
          </a:extLst>
        </xdr:cNvPr>
        <xdr:cNvSpPr/>
      </xdr:nvSpPr>
      <xdr:spPr>
        <a:xfrm>
          <a:off x="5118806" y="10009650"/>
          <a:ext cx="1553635" cy="26881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339770</xdr:colOff>
      <xdr:row>47</xdr:row>
      <xdr:rowOff>7057</xdr:rowOff>
    </xdr:from>
    <xdr:to>
      <xdr:col>6</xdr:col>
      <xdr:colOff>969818</xdr:colOff>
      <xdr:row>50</xdr:row>
      <xdr:rowOff>149412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26B141D-5107-4EB8-873B-E91C3B1A53D3}"/>
            </a:ext>
          </a:extLst>
        </xdr:cNvPr>
        <xdr:cNvSpPr txBox="1"/>
      </xdr:nvSpPr>
      <xdr:spPr>
        <a:xfrm>
          <a:off x="6708820" y="9805107"/>
          <a:ext cx="3144648" cy="6948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100"/>
            <a:t>Otomatis tersimpan di Stock</a:t>
          </a:r>
          <a:r>
            <a:rPr lang="id-ID" sz="1100" baseline="0"/>
            <a:t> Material WIP dengan identitas baru. Jika, sisa stok = 0. Maka, tidak tersimpan di Stock WIP</a:t>
          </a:r>
        </a:p>
      </xdr:txBody>
    </xdr:sp>
    <xdr:clientData/>
  </xdr:twoCellAnchor>
  <xdr:twoCellAnchor>
    <xdr:from>
      <xdr:col>6</xdr:col>
      <xdr:colOff>687295</xdr:colOff>
      <xdr:row>75</xdr:row>
      <xdr:rowOff>179294</xdr:rowOff>
    </xdr:from>
    <xdr:to>
      <xdr:col>6</xdr:col>
      <xdr:colOff>859679</xdr:colOff>
      <xdr:row>81</xdr:row>
      <xdr:rowOff>44824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EFE4AC7C-E421-4707-B3DB-0CFA288C820A}"/>
            </a:ext>
          </a:extLst>
        </xdr:cNvPr>
        <xdr:cNvCxnSpPr>
          <a:endCxn id="8" idx="0"/>
        </xdr:cNvCxnSpPr>
      </xdr:nvCxnSpPr>
      <xdr:spPr>
        <a:xfrm>
          <a:off x="9569824" y="15635941"/>
          <a:ext cx="172384" cy="9861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688415</xdr:colOff>
      <xdr:row>81</xdr:row>
      <xdr:rowOff>44824</xdr:rowOff>
    </xdr:from>
    <xdr:to>
      <xdr:col>8</xdr:col>
      <xdr:colOff>7472</xdr:colOff>
      <xdr:row>83</xdr:row>
      <xdr:rowOff>134471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F1B9E46-A8EE-4A89-9882-6B3D2DAF9FEF}"/>
            </a:ext>
          </a:extLst>
        </xdr:cNvPr>
        <xdr:cNvSpPr/>
      </xdr:nvSpPr>
      <xdr:spPr>
        <a:xfrm>
          <a:off x="8286003" y="16622059"/>
          <a:ext cx="2912410" cy="463177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>
              <a:solidFill>
                <a:schemeClr val="tx1"/>
              </a:solidFill>
            </a:rPr>
            <a:t>Alasa</a:t>
          </a:r>
          <a:r>
            <a:rPr lang="id-ID" sz="1100" baseline="0">
              <a:solidFill>
                <a:schemeClr val="tx1"/>
              </a:solidFill>
            </a:rPr>
            <a:t>n Hold : (Input Freet Text)</a:t>
          </a:r>
          <a:br>
            <a:rPr lang="id-ID" sz="1100" baseline="0">
              <a:solidFill>
                <a:schemeClr val="tx1"/>
              </a:solidFill>
            </a:rPr>
          </a:br>
          <a:r>
            <a:rPr lang="id-ID" sz="1100" baseline="0">
              <a:solidFill>
                <a:schemeClr val="tx1"/>
              </a:solidFill>
            </a:rPr>
            <a:t>File Pendukung : (Attach File)</a:t>
          </a:r>
          <a:endParaRPr lang="id-ID" sz="1100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311150</xdr:colOff>
      <xdr:row>10</xdr:row>
      <xdr:rowOff>69850</xdr:rowOff>
    </xdr:from>
    <xdr:to>
      <xdr:col>9</xdr:col>
      <xdr:colOff>565150</xdr:colOff>
      <xdr:row>10</xdr:row>
      <xdr:rowOff>266700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BBBB5F8-ECE3-402D-96EC-D3C4C052C5B1}"/>
            </a:ext>
          </a:extLst>
        </xdr:cNvPr>
        <xdr:cNvSpPr/>
      </xdr:nvSpPr>
      <xdr:spPr>
        <a:xfrm>
          <a:off x="6451600" y="1212850"/>
          <a:ext cx="254000" cy="1968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12</xdr:col>
      <xdr:colOff>11995</xdr:colOff>
      <xdr:row>11</xdr:row>
      <xdr:rowOff>20460</xdr:rowOff>
    </xdr:from>
    <xdr:to>
      <xdr:col>16</xdr:col>
      <xdr:colOff>543278</xdr:colOff>
      <xdr:row>18</xdr:row>
      <xdr:rowOff>21166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A3DC79D-236A-4380-9ACC-4D5364926A4A}"/>
            </a:ext>
          </a:extLst>
        </xdr:cNvPr>
        <xdr:cNvSpPr/>
      </xdr:nvSpPr>
      <xdr:spPr>
        <a:xfrm>
          <a:off x="9706328" y="1488016"/>
          <a:ext cx="2958394" cy="2159706"/>
        </a:xfrm>
        <a:prstGeom prst="rect">
          <a:avLst/>
        </a:prstGeom>
        <a:solidFill>
          <a:schemeClr val="bg1">
            <a:lumMod val="9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>
              <a:solidFill>
                <a:schemeClr val="tx1"/>
              </a:solidFill>
            </a:rPr>
            <a:t>email</a:t>
          </a:r>
          <a:r>
            <a:rPr lang="id-ID" sz="1100" baseline="0">
              <a:solidFill>
                <a:schemeClr val="tx1"/>
              </a:solidFill>
            </a:rPr>
            <a:t> to : (emai dari master supplier)</a:t>
          </a:r>
          <a:br>
            <a:rPr lang="id-ID" sz="1100" baseline="0">
              <a:solidFill>
                <a:schemeClr val="tx1"/>
              </a:solidFill>
            </a:rPr>
          </a:br>
          <a:br>
            <a:rPr lang="id-ID" sz="1100" baseline="0">
              <a:solidFill>
                <a:schemeClr val="tx1"/>
              </a:solidFill>
            </a:rPr>
          </a:br>
          <a:r>
            <a:rPr lang="id-ID" sz="1100" baseline="0">
              <a:solidFill>
                <a:schemeClr val="tx1"/>
              </a:solidFill>
            </a:rPr>
            <a:t>Dear, PT......</a:t>
          </a:r>
          <a:br>
            <a:rPr lang="id-ID" sz="1100" baseline="0">
              <a:solidFill>
                <a:schemeClr val="tx1"/>
              </a:solidFill>
            </a:rPr>
          </a:br>
          <a:r>
            <a:rPr lang="id-ID" sz="1100" baseline="0">
              <a:solidFill>
                <a:schemeClr val="tx1"/>
              </a:solidFill>
            </a:rPr>
            <a:t>bla bla bla.......(teks otomatis)</a:t>
          </a:r>
          <a:br>
            <a:rPr lang="id-ID" sz="1100" baseline="0">
              <a:solidFill>
                <a:schemeClr val="tx1"/>
              </a:solidFill>
            </a:rPr>
          </a:br>
          <a:br>
            <a:rPr lang="id-ID" sz="1100" baseline="0">
              <a:solidFill>
                <a:schemeClr val="tx1"/>
              </a:solidFill>
            </a:rPr>
          </a:br>
          <a:br>
            <a:rPr lang="id-ID" sz="1100" baseline="0">
              <a:solidFill>
                <a:schemeClr val="tx1"/>
              </a:solidFill>
            </a:rPr>
          </a:br>
          <a:br>
            <a:rPr lang="id-ID" sz="1100" baseline="0">
              <a:solidFill>
                <a:schemeClr val="tx1"/>
              </a:solidFill>
            </a:rPr>
          </a:br>
          <a:br>
            <a:rPr lang="id-ID" sz="1100" baseline="0">
              <a:solidFill>
                <a:schemeClr val="tx1"/>
              </a:solidFill>
            </a:rPr>
          </a:br>
          <a:br>
            <a:rPr lang="id-ID" sz="1100" baseline="0">
              <a:solidFill>
                <a:schemeClr val="tx1"/>
              </a:solidFill>
            </a:rPr>
          </a:br>
          <a:r>
            <a:rPr lang="id-ID" sz="1100" baseline="0">
              <a:solidFill>
                <a:schemeClr val="tx1"/>
              </a:solidFill>
            </a:rPr>
            <a:t>Best Regards,</a:t>
          </a:r>
          <a:br>
            <a:rPr lang="id-ID" sz="1100" baseline="0">
              <a:solidFill>
                <a:schemeClr val="tx1"/>
              </a:solidFill>
            </a:rPr>
          </a:br>
          <a:br>
            <a:rPr lang="id-ID" sz="1100" baseline="0">
              <a:solidFill>
                <a:schemeClr val="tx1"/>
              </a:solidFill>
            </a:rPr>
          </a:br>
          <a:br>
            <a:rPr lang="id-ID" sz="1100" baseline="0">
              <a:solidFill>
                <a:schemeClr val="tx1"/>
              </a:solidFill>
            </a:rPr>
          </a:br>
          <a:r>
            <a:rPr lang="id-ID" sz="1100" baseline="0">
              <a:solidFill>
                <a:schemeClr val="tx1"/>
              </a:solidFill>
            </a:rPr>
            <a:t>PT Harapan Fajar Gemilang</a:t>
          </a:r>
          <a:endParaRPr lang="id-ID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28222</xdr:colOff>
      <xdr:row>13</xdr:row>
      <xdr:rowOff>21167</xdr:rowOff>
    </xdr:from>
    <xdr:to>
      <xdr:col>18</xdr:col>
      <xdr:colOff>7056</xdr:colOff>
      <xdr:row>14</xdr:row>
      <xdr:rowOff>42333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CDF40B28-6ABD-476F-A28F-DD00A3F8E195}"/>
            </a:ext>
          </a:extLst>
        </xdr:cNvPr>
        <xdr:cNvSpPr/>
      </xdr:nvSpPr>
      <xdr:spPr>
        <a:xfrm>
          <a:off x="12149666" y="2300111"/>
          <a:ext cx="1192390" cy="4727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518079</xdr:colOff>
      <xdr:row>23</xdr:row>
      <xdr:rowOff>75596</xdr:rowOff>
    </xdr:from>
    <xdr:to>
      <xdr:col>4</xdr:col>
      <xdr:colOff>772079</xdr:colOff>
      <xdr:row>23</xdr:row>
      <xdr:rowOff>272446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78DA180-66EC-4B12-8892-8B2485F74FAB}"/>
            </a:ext>
          </a:extLst>
        </xdr:cNvPr>
        <xdr:cNvSpPr/>
      </xdr:nvSpPr>
      <xdr:spPr>
        <a:xfrm>
          <a:off x="3811008" y="5382382"/>
          <a:ext cx="254000" cy="1968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10</xdr:col>
      <xdr:colOff>526676</xdr:colOff>
      <xdr:row>10</xdr:row>
      <xdr:rowOff>437029</xdr:rowOff>
    </xdr:from>
    <xdr:to>
      <xdr:col>12</xdr:col>
      <xdr:colOff>87842</xdr:colOff>
      <xdr:row>21</xdr:row>
      <xdr:rowOff>155222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DF120773-CA96-4ACB-A841-AC49BC90D9FC}"/>
            </a:ext>
          </a:extLst>
        </xdr:cNvPr>
        <xdr:cNvCxnSpPr/>
      </xdr:nvCxnSpPr>
      <xdr:spPr>
        <a:xfrm>
          <a:off x="11396382" y="2005853"/>
          <a:ext cx="1286872" cy="1780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22</xdr:row>
      <xdr:rowOff>0</xdr:rowOff>
    </xdr:from>
    <xdr:to>
      <xdr:col>16</xdr:col>
      <xdr:colOff>485299</xdr:colOff>
      <xdr:row>24</xdr:row>
      <xdr:rowOff>84666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AAE9E19D-CB61-4619-8AAB-EFCF2BF3A6BD}"/>
            </a:ext>
          </a:extLst>
        </xdr:cNvPr>
        <xdr:cNvSpPr/>
      </xdr:nvSpPr>
      <xdr:spPr>
        <a:xfrm>
          <a:off x="9694333" y="4741333"/>
          <a:ext cx="2912410" cy="874889"/>
        </a:xfrm>
        <a:prstGeom prst="rect">
          <a:avLst/>
        </a:prstGeom>
        <a:solidFill>
          <a:schemeClr val="bg2">
            <a:lumMod val="95000"/>
          </a:schemeClr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>
              <a:solidFill>
                <a:schemeClr val="tx1"/>
              </a:solidFill>
            </a:rPr>
            <a:t>Alasa</a:t>
          </a:r>
          <a:r>
            <a:rPr lang="id-ID" sz="1100" baseline="0">
              <a:solidFill>
                <a:schemeClr val="tx1"/>
              </a:solidFill>
            </a:rPr>
            <a:t>n Hold : (Otomatis muncul saat claim dari Produksi)</a:t>
          </a:r>
          <a:br>
            <a:rPr lang="id-ID" sz="1100" baseline="0">
              <a:solidFill>
                <a:schemeClr val="tx1"/>
              </a:solidFill>
            </a:rPr>
          </a:br>
          <a:r>
            <a:rPr lang="id-ID" sz="1100" baseline="0">
              <a:solidFill>
                <a:schemeClr val="tx1"/>
              </a:solidFill>
            </a:rPr>
            <a:t>File Pendukung : (View/Download File)</a:t>
          </a:r>
          <a:endParaRPr lang="id-ID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518079</xdr:colOff>
      <xdr:row>24</xdr:row>
      <xdr:rowOff>57453</xdr:rowOff>
    </xdr:from>
    <xdr:to>
      <xdr:col>4</xdr:col>
      <xdr:colOff>772079</xdr:colOff>
      <xdr:row>24</xdr:row>
      <xdr:rowOff>254303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719FA58-7A57-4F9D-85FF-E1D47C47DEF5}"/>
            </a:ext>
          </a:extLst>
        </xdr:cNvPr>
        <xdr:cNvSpPr/>
      </xdr:nvSpPr>
      <xdr:spPr>
        <a:xfrm>
          <a:off x="3811008" y="5790596"/>
          <a:ext cx="254000" cy="1968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518079</xdr:colOff>
      <xdr:row>25</xdr:row>
      <xdr:rowOff>57453</xdr:rowOff>
    </xdr:from>
    <xdr:to>
      <xdr:col>4</xdr:col>
      <xdr:colOff>772079</xdr:colOff>
      <xdr:row>25</xdr:row>
      <xdr:rowOff>254303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0DCAE4B-3074-4B10-B4F4-06ACFAF0276D}"/>
            </a:ext>
          </a:extLst>
        </xdr:cNvPr>
        <xdr:cNvSpPr/>
      </xdr:nvSpPr>
      <xdr:spPr>
        <a:xfrm>
          <a:off x="3811008" y="5790596"/>
          <a:ext cx="254000" cy="1968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4</xdr:col>
      <xdr:colOff>518079</xdr:colOff>
      <xdr:row>28</xdr:row>
      <xdr:rowOff>75596</xdr:rowOff>
    </xdr:from>
    <xdr:to>
      <xdr:col>4</xdr:col>
      <xdr:colOff>772079</xdr:colOff>
      <xdr:row>28</xdr:row>
      <xdr:rowOff>272446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3EB0288-28F8-42E1-B8C9-F0646CE4D2C7}"/>
            </a:ext>
          </a:extLst>
        </xdr:cNvPr>
        <xdr:cNvSpPr/>
      </xdr:nvSpPr>
      <xdr:spPr>
        <a:xfrm>
          <a:off x="3811008" y="5382382"/>
          <a:ext cx="254000" cy="1968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9</xdr:col>
      <xdr:colOff>311150</xdr:colOff>
      <xdr:row>41</xdr:row>
      <xdr:rowOff>69850</xdr:rowOff>
    </xdr:from>
    <xdr:to>
      <xdr:col>9</xdr:col>
      <xdr:colOff>565150</xdr:colOff>
      <xdr:row>41</xdr:row>
      <xdr:rowOff>266700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2D4CC32F-2E7F-4C7F-A469-FDECCA1DD3F6}"/>
            </a:ext>
          </a:extLst>
        </xdr:cNvPr>
        <xdr:cNvSpPr/>
      </xdr:nvSpPr>
      <xdr:spPr>
        <a:xfrm>
          <a:off x="10307864" y="1702707"/>
          <a:ext cx="254000" cy="1968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>
              <a:solidFill>
                <a:schemeClr val="tx1"/>
              </a:solidFill>
            </a:rPr>
            <a:t>V</a:t>
          </a:r>
        </a:p>
      </xdr:txBody>
    </xdr:sp>
    <xdr:clientData/>
  </xdr:twoCellAnchor>
  <xdr:twoCellAnchor>
    <xdr:from>
      <xdr:col>9</xdr:col>
      <xdr:colOff>317500</xdr:colOff>
      <xdr:row>42</xdr:row>
      <xdr:rowOff>114300</xdr:rowOff>
    </xdr:from>
    <xdr:to>
      <xdr:col>9</xdr:col>
      <xdr:colOff>571500</xdr:colOff>
      <xdr:row>42</xdr:row>
      <xdr:rowOff>311150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2C5886BB-0F09-44AB-9493-E1DC7E6B2D60}"/>
            </a:ext>
          </a:extLst>
        </xdr:cNvPr>
        <xdr:cNvSpPr/>
      </xdr:nvSpPr>
      <xdr:spPr>
        <a:xfrm>
          <a:off x="10314214" y="2246086"/>
          <a:ext cx="254000" cy="1968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id-ID" sz="9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518079</xdr:colOff>
      <xdr:row>51</xdr:row>
      <xdr:rowOff>75596</xdr:rowOff>
    </xdr:from>
    <xdr:to>
      <xdr:col>4</xdr:col>
      <xdr:colOff>772079</xdr:colOff>
      <xdr:row>51</xdr:row>
      <xdr:rowOff>272446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FF53DEB-B3C2-4D09-84B6-149F08F82DD9}"/>
            </a:ext>
          </a:extLst>
        </xdr:cNvPr>
        <xdr:cNvSpPr/>
      </xdr:nvSpPr>
      <xdr:spPr>
        <a:xfrm>
          <a:off x="3811008" y="5382382"/>
          <a:ext cx="254000" cy="1968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>
              <a:solidFill>
                <a:schemeClr val="tx1"/>
              </a:solidFill>
            </a:rPr>
            <a:t>V</a:t>
          </a:r>
        </a:p>
      </xdr:txBody>
    </xdr:sp>
    <xdr:clientData/>
  </xdr:twoCellAnchor>
  <xdr:twoCellAnchor>
    <xdr:from>
      <xdr:col>4</xdr:col>
      <xdr:colOff>518079</xdr:colOff>
      <xdr:row>52</xdr:row>
      <xdr:rowOff>57453</xdr:rowOff>
    </xdr:from>
    <xdr:to>
      <xdr:col>4</xdr:col>
      <xdr:colOff>772079</xdr:colOff>
      <xdr:row>52</xdr:row>
      <xdr:rowOff>254303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CF66AABF-19A8-4BA3-B534-3123904FF60C}"/>
            </a:ext>
          </a:extLst>
        </xdr:cNvPr>
        <xdr:cNvSpPr/>
      </xdr:nvSpPr>
      <xdr:spPr>
        <a:xfrm>
          <a:off x="3811008" y="5790596"/>
          <a:ext cx="254000" cy="1968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id-ID" sz="9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518079</xdr:colOff>
      <xdr:row>53</xdr:row>
      <xdr:rowOff>57453</xdr:rowOff>
    </xdr:from>
    <xdr:to>
      <xdr:col>4</xdr:col>
      <xdr:colOff>772079</xdr:colOff>
      <xdr:row>53</xdr:row>
      <xdr:rowOff>254303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19292E70-BAE5-487E-BF07-F3DA7A2933F8}"/>
            </a:ext>
          </a:extLst>
        </xdr:cNvPr>
        <xdr:cNvSpPr/>
      </xdr:nvSpPr>
      <xdr:spPr>
        <a:xfrm>
          <a:off x="3811008" y="6144382"/>
          <a:ext cx="254000" cy="1968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id-ID" sz="9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518079</xdr:colOff>
      <xdr:row>56</xdr:row>
      <xdr:rowOff>75596</xdr:rowOff>
    </xdr:from>
    <xdr:to>
      <xdr:col>4</xdr:col>
      <xdr:colOff>772079</xdr:colOff>
      <xdr:row>56</xdr:row>
      <xdr:rowOff>272446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1EB6B8B-CE86-43B9-A7D2-1160FF651C89}"/>
            </a:ext>
          </a:extLst>
        </xdr:cNvPr>
        <xdr:cNvSpPr/>
      </xdr:nvSpPr>
      <xdr:spPr>
        <a:xfrm>
          <a:off x="3811008" y="7223882"/>
          <a:ext cx="254000" cy="1968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id-ID" sz="9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311150</xdr:colOff>
      <xdr:row>68</xdr:row>
      <xdr:rowOff>69850</xdr:rowOff>
    </xdr:from>
    <xdr:to>
      <xdr:col>9</xdr:col>
      <xdr:colOff>565150</xdr:colOff>
      <xdr:row>68</xdr:row>
      <xdr:rowOff>266700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4CF33B3F-7A7C-4945-962B-B4A3244E79CE}"/>
            </a:ext>
          </a:extLst>
        </xdr:cNvPr>
        <xdr:cNvSpPr/>
      </xdr:nvSpPr>
      <xdr:spPr>
        <a:xfrm>
          <a:off x="10307864" y="9721850"/>
          <a:ext cx="254000" cy="1968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id-ID" sz="9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317500</xdr:colOff>
      <xdr:row>69</xdr:row>
      <xdr:rowOff>114300</xdr:rowOff>
    </xdr:from>
    <xdr:to>
      <xdr:col>9</xdr:col>
      <xdr:colOff>571500</xdr:colOff>
      <xdr:row>69</xdr:row>
      <xdr:rowOff>311150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8BF79B57-BFBA-4ED7-9474-86D94B405F76}"/>
            </a:ext>
          </a:extLst>
        </xdr:cNvPr>
        <xdr:cNvSpPr/>
      </xdr:nvSpPr>
      <xdr:spPr>
        <a:xfrm>
          <a:off x="10314214" y="10265229"/>
          <a:ext cx="254000" cy="1968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>
              <a:solidFill>
                <a:schemeClr val="tx1"/>
              </a:solidFill>
            </a:rPr>
            <a:t>V</a:t>
          </a:r>
        </a:p>
      </xdr:txBody>
    </xdr:sp>
    <xdr:clientData/>
  </xdr:twoCellAnchor>
  <xdr:twoCellAnchor>
    <xdr:from>
      <xdr:col>4</xdr:col>
      <xdr:colOff>518079</xdr:colOff>
      <xdr:row>79</xdr:row>
      <xdr:rowOff>75596</xdr:rowOff>
    </xdr:from>
    <xdr:to>
      <xdr:col>4</xdr:col>
      <xdr:colOff>772079</xdr:colOff>
      <xdr:row>79</xdr:row>
      <xdr:rowOff>272446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96F83DDB-27E4-4941-B7C4-FA7F93CB42D0}"/>
            </a:ext>
          </a:extLst>
        </xdr:cNvPr>
        <xdr:cNvSpPr/>
      </xdr:nvSpPr>
      <xdr:spPr>
        <a:xfrm>
          <a:off x="3811008" y="13401525"/>
          <a:ext cx="254000" cy="1968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id-ID" sz="9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518079</xdr:colOff>
      <xdr:row>80</xdr:row>
      <xdr:rowOff>57453</xdr:rowOff>
    </xdr:from>
    <xdr:to>
      <xdr:col>4</xdr:col>
      <xdr:colOff>772079</xdr:colOff>
      <xdr:row>80</xdr:row>
      <xdr:rowOff>254303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456187A2-341E-430D-B55B-A64C56754690}"/>
            </a:ext>
          </a:extLst>
        </xdr:cNvPr>
        <xdr:cNvSpPr/>
      </xdr:nvSpPr>
      <xdr:spPr>
        <a:xfrm>
          <a:off x="3811008" y="13809739"/>
          <a:ext cx="254000" cy="1968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id-ID" sz="9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518079</xdr:colOff>
      <xdr:row>81</xdr:row>
      <xdr:rowOff>57453</xdr:rowOff>
    </xdr:from>
    <xdr:to>
      <xdr:col>4</xdr:col>
      <xdr:colOff>772079</xdr:colOff>
      <xdr:row>81</xdr:row>
      <xdr:rowOff>254303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DAD79BC7-2E10-4551-BB2C-1556D1FFDEC2}"/>
            </a:ext>
          </a:extLst>
        </xdr:cNvPr>
        <xdr:cNvSpPr/>
      </xdr:nvSpPr>
      <xdr:spPr>
        <a:xfrm>
          <a:off x="3811008" y="14163524"/>
          <a:ext cx="254000" cy="1968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id-ID" sz="9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518079</xdr:colOff>
      <xdr:row>84</xdr:row>
      <xdr:rowOff>75596</xdr:rowOff>
    </xdr:from>
    <xdr:to>
      <xdr:col>4</xdr:col>
      <xdr:colOff>772079</xdr:colOff>
      <xdr:row>84</xdr:row>
      <xdr:rowOff>272446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647918B-189C-4F5E-82CB-1D0B68A138C7}"/>
            </a:ext>
          </a:extLst>
        </xdr:cNvPr>
        <xdr:cNvSpPr/>
      </xdr:nvSpPr>
      <xdr:spPr>
        <a:xfrm>
          <a:off x="3811008" y="15243025"/>
          <a:ext cx="254000" cy="1968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>
              <a:solidFill>
                <a:schemeClr val="tx1"/>
              </a:solidFill>
            </a:rPr>
            <a:t>V</a:t>
          </a:r>
        </a:p>
      </xdr:txBody>
    </xdr:sp>
    <xdr:clientData/>
  </xdr:twoCellAnchor>
  <xdr:twoCellAnchor>
    <xdr:from>
      <xdr:col>9</xdr:col>
      <xdr:colOff>311150</xdr:colOff>
      <xdr:row>11</xdr:row>
      <xdr:rowOff>69850</xdr:rowOff>
    </xdr:from>
    <xdr:to>
      <xdr:col>9</xdr:col>
      <xdr:colOff>565150</xdr:colOff>
      <xdr:row>11</xdr:row>
      <xdr:rowOff>266700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888A167D-9C46-4EEF-9B2D-2183CB95E8CA}"/>
            </a:ext>
          </a:extLst>
        </xdr:cNvPr>
        <xdr:cNvSpPr/>
      </xdr:nvSpPr>
      <xdr:spPr>
        <a:xfrm>
          <a:off x="10321178" y="1635499"/>
          <a:ext cx="247650" cy="200025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962025</xdr:colOff>
      <xdr:row>12</xdr:row>
      <xdr:rowOff>25400</xdr:rowOff>
    </xdr:from>
    <xdr:to>
      <xdr:col>10</xdr:col>
      <xdr:colOff>292100</xdr:colOff>
      <xdr:row>17</xdr:row>
      <xdr:rowOff>28575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26FD1D4-BE87-4995-B5D0-F283979DF48B}"/>
            </a:ext>
          </a:extLst>
        </xdr:cNvPr>
        <xdr:cNvCxnSpPr/>
      </xdr:nvCxnSpPr>
      <xdr:spPr>
        <a:xfrm flipH="1">
          <a:off x="6667500" y="1968500"/>
          <a:ext cx="5264150" cy="89852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514350</xdr:colOff>
      <xdr:row>36</xdr:row>
      <xdr:rowOff>133350</xdr:rowOff>
    </xdr:from>
    <xdr:to>
      <xdr:col>10</xdr:col>
      <xdr:colOff>152400</xdr:colOff>
      <xdr:row>42</xdr:row>
      <xdr:rowOff>104775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7E3E8C1-220B-4A90-A9D4-23FC2C9E836C}"/>
            </a:ext>
          </a:extLst>
        </xdr:cNvPr>
        <xdr:cNvCxnSpPr/>
      </xdr:nvCxnSpPr>
      <xdr:spPr>
        <a:xfrm flipH="1">
          <a:off x="5057775" y="6229350"/>
          <a:ext cx="6734175" cy="9429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1435100</xdr:colOff>
      <xdr:row>30</xdr:row>
      <xdr:rowOff>6350</xdr:rowOff>
    </xdr:from>
    <xdr:to>
      <xdr:col>5</xdr:col>
      <xdr:colOff>355600</xdr:colOff>
      <xdr:row>33</xdr:row>
      <xdr:rowOff>6350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8BF97BD4-0D5D-4249-813E-F8ADDF9AF3A1}"/>
            </a:ext>
          </a:extLst>
        </xdr:cNvPr>
        <xdr:cNvCxnSpPr/>
      </xdr:nvCxnSpPr>
      <xdr:spPr>
        <a:xfrm flipH="1">
          <a:off x="4311650" y="6432550"/>
          <a:ext cx="3708400" cy="4889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1435100</xdr:colOff>
      <xdr:row>59</xdr:row>
      <xdr:rowOff>6350</xdr:rowOff>
    </xdr:from>
    <xdr:to>
      <xdr:col>5</xdr:col>
      <xdr:colOff>355600</xdr:colOff>
      <xdr:row>62</xdr:row>
      <xdr:rowOff>6350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1497A43-E3E8-42FA-BE8E-C33B9404C7DD}"/>
            </a:ext>
          </a:extLst>
        </xdr:cNvPr>
        <xdr:cNvCxnSpPr/>
      </xdr:nvCxnSpPr>
      <xdr:spPr>
        <a:xfrm flipH="1">
          <a:off x="4318187" y="5836584"/>
          <a:ext cx="3699062" cy="47064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4</xdr:row>
      <xdr:rowOff>6351</xdr:rowOff>
    </xdr:from>
    <xdr:to>
      <xdr:col>11</xdr:col>
      <xdr:colOff>296907</xdr:colOff>
      <xdr:row>16</xdr:row>
      <xdr:rowOff>66676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83D69A-5A9C-4FD5-83B2-6DE5F98C43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6402"/>
        <a:stretch/>
      </xdr:blipFill>
      <xdr:spPr>
        <a:xfrm>
          <a:off x="50800" y="654051"/>
          <a:ext cx="9018632" cy="1968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76200</xdr:rowOff>
    </xdr:from>
    <xdr:to>
      <xdr:col>11</xdr:col>
      <xdr:colOff>229062</xdr:colOff>
      <xdr:row>32</xdr:row>
      <xdr:rowOff>9636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5B40FA-8B37-4E61-BDC7-781F57487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52750"/>
          <a:ext cx="8998412" cy="2152761"/>
        </a:xfrm>
        <a:prstGeom prst="rect">
          <a:avLst/>
        </a:prstGeom>
      </xdr:spPr>
    </xdr:pic>
    <xdr:clientData/>
  </xdr:twoCellAnchor>
  <xdr:oneCellAnchor>
    <xdr:from>
      <xdr:col>0</xdr:col>
      <xdr:colOff>50800</xdr:colOff>
      <xdr:row>35</xdr:row>
      <xdr:rowOff>6351</xdr:rowOff>
    </xdr:from>
    <xdr:ext cx="9018632" cy="1968500"/>
    <xdr:pic>
      <xdr:nvPicPr>
        <xdr:cNvPr id="4" name="Picture 3">
          <a:extLst>
            <a:ext uri="{FF2B5EF4-FFF2-40B4-BE49-F238E27FC236}">
              <a16:creationId xmlns:a16="http://schemas.microsoft.com/office/drawing/2014/main" id="{B484B12E-9BE9-4949-8E06-BC67BFAFAC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6402"/>
        <a:stretch/>
      </xdr:blipFill>
      <xdr:spPr>
        <a:xfrm>
          <a:off x="50800" y="654051"/>
          <a:ext cx="9018632" cy="1968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76200</xdr:rowOff>
    </xdr:from>
    <xdr:ext cx="8998412" cy="1096683"/>
    <xdr:pic>
      <xdr:nvPicPr>
        <xdr:cNvPr id="5" name="Picture 4">
          <a:extLst>
            <a:ext uri="{FF2B5EF4-FFF2-40B4-BE49-F238E27FC236}">
              <a16:creationId xmlns:a16="http://schemas.microsoft.com/office/drawing/2014/main" id="{3311EA8F-3F31-4BCA-BA0A-D041DBB126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49057"/>
        <a:stretch/>
      </xdr:blipFill>
      <xdr:spPr>
        <a:xfrm>
          <a:off x="0" y="7800788"/>
          <a:ext cx="8998412" cy="1096683"/>
        </a:xfrm>
        <a:prstGeom prst="rect">
          <a:avLst/>
        </a:prstGeom>
      </xdr:spPr>
    </xdr:pic>
    <xdr:clientData/>
  </xdr:oneCellAnchor>
  <xdr:twoCellAnchor>
    <xdr:from>
      <xdr:col>7</xdr:col>
      <xdr:colOff>291353</xdr:colOff>
      <xdr:row>38</xdr:row>
      <xdr:rowOff>59764</xdr:rowOff>
    </xdr:from>
    <xdr:to>
      <xdr:col>11</xdr:col>
      <xdr:colOff>231589</xdr:colOff>
      <xdr:row>39</xdr:row>
      <xdr:rowOff>119530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2F4E8A4-3AB3-4AAA-A420-CA1F2B2CD656}"/>
            </a:ext>
          </a:extLst>
        </xdr:cNvPr>
        <xdr:cNvSpPr/>
      </xdr:nvSpPr>
      <xdr:spPr>
        <a:xfrm>
          <a:off x="6633882" y="6051176"/>
          <a:ext cx="2390589" cy="216648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900">
              <a:solidFill>
                <a:sysClr val="windowText" lastClr="000000"/>
              </a:solidFill>
            </a:rPr>
            <a:t>PT Baja Semesta Mandiri</a:t>
          </a:r>
        </a:p>
      </xdr:txBody>
    </xdr:sp>
    <xdr:clientData/>
  </xdr:twoCellAnchor>
  <xdr:twoCellAnchor>
    <xdr:from>
      <xdr:col>7</xdr:col>
      <xdr:colOff>313765</xdr:colOff>
      <xdr:row>43</xdr:row>
      <xdr:rowOff>70411</xdr:rowOff>
    </xdr:from>
    <xdr:to>
      <xdr:col>11</xdr:col>
      <xdr:colOff>254001</xdr:colOff>
      <xdr:row>44</xdr:row>
      <xdr:rowOff>130177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579A536E-CCD2-4F6B-96B3-207E0DEEF46E}"/>
            </a:ext>
          </a:extLst>
        </xdr:cNvPr>
        <xdr:cNvSpPr/>
      </xdr:nvSpPr>
      <xdr:spPr>
        <a:xfrm>
          <a:off x="6622677" y="6816352"/>
          <a:ext cx="2360706" cy="216649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900">
              <a:solidFill>
                <a:sysClr val="windowText" lastClr="000000"/>
              </a:solidFill>
            </a:rPr>
            <a:t>IDR 11,699,202.35</a:t>
          </a:r>
        </a:p>
      </xdr:txBody>
    </xdr:sp>
    <xdr:clientData/>
  </xdr:twoCellAnchor>
  <xdr:twoCellAnchor>
    <xdr:from>
      <xdr:col>0</xdr:col>
      <xdr:colOff>418353</xdr:colOff>
      <xdr:row>53</xdr:row>
      <xdr:rowOff>44824</xdr:rowOff>
    </xdr:from>
    <xdr:to>
      <xdr:col>3</xdr:col>
      <xdr:colOff>455707</xdr:colOff>
      <xdr:row>54</xdr:row>
      <xdr:rowOff>104589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CC967A6D-E955-4FC1-A197-983DC2DA525D}"/>
            </a:ext>
          </a:extLst>
        </xdr:cNvPr>
        <xdr:cNvSpPr/>
      </xdr:nvSpPr>
      <xdr:spPr>
        <a:xfrm>
          <a:off x="418353" y="8240059"/>
          <a:ext cx="2390589" cy="216648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 Baja Semesta Mandiri</a:t>
          </a:r>
          <a:endParaRPr lang="id-ID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</xdr:col>
      <xdr:colOff>963707</xdr:colOff>
      <xdr:row>43</xdr:row>
      <xdr:rowOff>59765</xdr:rowOff>
    </xdr:from>
    <xdr:to>
      <xdr:col>6</xdr:col>
      <xdr:colOff>388472</xdr:colOff>
      <xdr:row>44</xdr:row>
      <xdr:rowOff>119531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E2F5014E-1BCF-4BEA-9EF8-76BBBA3D44EC}"/>
            </a:ext>
          </a:extLst>
        </xdr:cNvPr>
        <xdr:cNvSpPr/>
      </xdr:nvSpPr>
      <xdr:spPr>
        <a:xfrm>
          <a:off x="2188883" y="6835589"/>
          <a:ext cx="2390589" cy="216648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900">
              <a:solidFill>
                <a:sysClr val="windowText" lastClr="000000"/>
              </a:solidFill>
            </a:rPr>
            <a:t>IDR</a:t>
          </a:r>
        </a:p>
      </xdr:txBody>
    </xdr:sp>
    <xdr:clientData/>
  </xdr:twoCellAnchor>
  <xdr:twoCellAnchor>
    <xdr:from>
      <xdr:col>2</xdr:col>
      <xdr:colOff>944283</xdr:colOff>
      <xdr:row>45</xdr:row>
      <xdr:rowOff>77695</xdr:rowOff>
    </xdr:from>
    <xdr:to>
      <xdr:col>6</xdr:col>
      <xdr:colOff>369048</xdr:colOff>
      <xdr:row>46</xdr:row>
      <xdr:rowOff>137460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032580DF-B6B6-43D9-9939-9CDBC057556A}"/>
            </a:ext>
          </a:extLst>
        </xdr:cNvPr>
        <xdr:cNvSpPr/>
      </xdr:nvSpPr>
      <xdr:spPr>
        <a:xfrm>
          <a:off x="2169459" y="7167283"/>
          <a:ext cx="2390589" cy="216648"/>
        </a:xfrm>
        <a:prstGeom prst="roundRect">
          <a:avLst/>
        </a:prstGeom>
        <a:solidFill>
          <a:schemeClr val="bg2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900">
              <a:solidFill>
                <a:sysClr val="windowText" lastClr="000000"/>
              </a:solidFill>
            </a:rPr>
            <a:t>IDR</a:t>
          </a:r>
          <a:r>
            <a:rPr lang="id-ID" sz="900" baseline="0">
              <a:solidFill>
                <a:sysClr val="windowText" lastClr="000000"/>
              </a:solidFill>
            </a:rPr>
            <a:t> 1</a:t>
          </a:r>
          <a:endParaRPr lang="id-ID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201707</xdr:colOff>
      <xdr:row>52</xdr:row>
      <xdr:rowOff>156881</xdr:rowOff>
    </xdr:from>
    <xdr:to>
      <xdr:col>11</xdr:col>
      <xdr:colOff>67237</xdr:colOff>
      <xdr:row>54</xdr:row>
      <xdr:rowOff>74705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5F095448-E03F-4178-BF37-36F2F62672B1}"/>
            </a:ext>
          </a:extLst>
        </xdr:cNvPr>
        <xdr:cNvSpPr/>
      </xdr:nvSpPr>
      <xdr:spPr>
        <a:xfrm>
          <a:off x="7156825" y="8195234"/>
          <a:ext cx="1703294" cy="231589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>
              <a:solidFill>
                <a:schemeClr val="tx1"/>
              </a:solidFill>
            </a:rPr>
            <a:t>IDR </a:t>
          </a:r>
          <a:r>
            <a:rPr lang="id-ID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72,756,013.16</a:t>
          </a:r>
          <a:endParaRPr lang="id-ID" sz="9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347383</xdr:colOff>
      <xdr:row>52</xdr:row>
      <xdr:rowOff>144556</xdr:rowOff>
    </xdr:from>
    <xdr:to>
      <xdr:col>6</xdr:col>
      <xdr:colOff>1629709</xdr:colOff>
      <xdr:row>54</xdr:row>
      <xdr:rowOff>115233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888935E4-A98F-4ACD-8596-92DAEE5A0563}"/>
            </a:ext>
          </a:extLst>
        </xdr:cNvPr>
        <xdr:cNvSpPr/>
      </xdr:nvSpPr>
      <xdr:spPr>
        <a:xfrm>
          <a:off x="4504765" y="8145556"/>
          <a:ext cx="1282326" cy="284442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900">
              <a:solidFill>
                <a:schemeClr val="tx1"/>
              </a:solidFill>
            </a:rPr>
            <a:t>IDR </a:t>
          </a:r>
          <a:r>
            <a:rPr lang="id-ID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72,756,013.16</a:t>
          </a:r>
          <a:endParaRPr lang="id-ID" sz="9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194236</xdr:colOff>
      <xdr:row>50</xdr:row>
      <xdr:rowOff>119528</xdr:rowOff>
    </xdr:from>
    <xdr:to>
      <xdr:col>11</xdr:col>
      <xdr:colOff>89648</xdr:colOff>
      <xdr:row>52</xdr:row>
      <xdr:rowOff>67234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85479FB1-178A-4B8E-A49D-42E43AE83077}"/>
            </a:ext>
          </a:extLst>
        </xdr:cNvPr>
        <xdr:cNvSpPr/>
      </xdr:nvSpPr>
      <xdr:spPr>
        <a:xfrm>
          <a:off x="7149354" y="7844116"/>
          <a:ext cx="1733176" cy="261471"/>
        </a:xfrm>
        <a:prstGeom prst="roundRect">
          <a:avLst/>
        </a:prstGeom>
        <a:solidFill>
          <a:schemeClr val="bg2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900">
              <a:solidFill>
                <a:sysClr val="windowText" lastClr="000000"/>
              </a:solidFill>
            </a:rPr>
            <a:t>Total</a:t>
          </a:r>
        </a:p>
      </xdr:txBody>
    </xdr:sp>
    <xdr:clientData/>
  </xdr:twoCellAnchor>
  <xdr:twoCellAnchor editAs="oneCell">
    <xdr:from>
      <xdr:col>0</xdr:col>
      <xdr:colOff>0</xdr:colOff>
      <xdr:row>61</xdr:row>
      <xdr:rowOff>131295</xdr:rowOff>
    </xdr:from>
    <xdr:to>
      <xdr:col>11</xdr:col>
      <xdr:colOff>151329</xdr:colOff>
      <xdr:row>67</xdr:row>
      <xdr:rowOff>7471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46C7BD8-4061-4506-B937-C73B180DA0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24828"/>
        <a:stretch/>
      </xdr:blipFill>
      <xdr:spPr>
        <a:xfrm>
          <a:off x="0" y="9701119"/>
          <a:ext cx="8880711" cy="817470"/>
        </a:xfrm>
        <a:prstGeom prst="rect">
          <a:avLst/>
        </a:prstGeom>
      </xdr:spPr>
    </xdr:pic>
    <xdr:clientData/>
  </xdr:twoCellAnchor>
  <xdr:twoCellAnchor>
    <xdr:from>
      <xdr:col>6</xdr:col>
      <xdr:colOff>1509060</xdr:colOff>
      <xdr:row>57</xdr:row>
      <xdr:rowOff>89646</xdr:rowOff>
    </xdr:from>
    <xdr:to>
      <xdr:col>7</xdr:col>
      <xdr:colOff>560295</xdr:colOff>
      <xdr:row>59</xdr:row>
      <xdr:rowOff>22412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50FB5856-10D0-40CE-81BE-731BC9264CCC}"/>
            </a:ext>
          </a:extLst>
        </xdr:cNvPr>
        <xdr:cNvSpPr/>
      </xdr:nvSpPr>
      <xdr:spPr>
        <a:xfrm>
          <a:off x="5700060" y="8912411"/>
          <a:ext cx="1202764" cy="246530"/>
        </a:xfrm>
        <a:prstGeom prst="roundRect">
          <a:avLst/>
        </a:prstGeom>
        <a:solidFill>
          <a:schemeClr val="bg2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900">
              <a:solidFill>
                <a:sysClr val="windowText" lastClr="000000"/>
              </a:solidFill>
            </a:rPr>
            <a:t>DN-2609-005 :</a:t>
          </a:r>
        </a:p>
      </xdr:txBody>
    </xdr:sp>
    <xdr:clientData/>
  </xdr:twoCellAnchor>
  <xdr:twoCellAnchor>
    <xdr:from>
      <xdr:col>8</xdr:col>
      <xdr:colOff>194234</xdr:colOff>
      <xdr:row>57</xdr:row>
      <xdr:rowOff>82176</xdr:rowOff>
    </xdr:from>
    <xdr:to>
      <xdr:col>11</xdr:col>
      <xdr:colOff>74705</xdr:colOff>
      <xdr:row>59</xdr:row>
      <xdr:rowOff>14942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DB88748A-D63B-4EF8-BCFE-B7BBDBCBB94A}"/>
            </a:ext>
          </a:extLst>
        </xdr:cNvPr>
        <xdr:cNvSpPr/>
      </xdr:nvSpPr>
      <xdr:spPr>
        <a:xfrm>
          <a:off x="7149352" y="8904941"/>
          <a:ext cx="1718235" cy="246530"/>
        </a:xfrm>
        <a:prstGeom prst="roundRect">
          <a:avLst/>
        </a:prstGeom>
        <a:solidFill>
          <a:schemeClr val="bg2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900">
              <a:solidFill>
                <a:sysClr val="windowText" lastClr="000000"/>
              </a:solidFill>
            </a:rPr>
            <a:t>IDR 2,306,810.81</a:t>
          </a:r>
        </a:p>
      </xdr:txBody>
    </xdr:sp>
    <xdr:clientData/>
  </xdr:twoCellAnchor>
  <xdr:twoCellAnchor>
    <xdr:from>
      <xdr:col>8</xdr:col>
      <xdr:colOff>209177</xdr:colOff>
      <xdr:row>62</xdr:row>
      <xdr:rowOff>92822</xdr:rowOff>
    </xdr:from>
    <xdr:to>
      <xdr:col>11</xdr:col>
      <xdr:colOff>97119</xdr:colOff>
      <xdr:row>64</xdr:row>
      <xdr:rowOff>18116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76D0A472-C89E-498B-B1CD-A6A09CB89642}"/>
            </a:ext>
          </a:extLst>
        </xdr:cNvPr>
        <xdr:cNvSpPr/>
      </xdr:nvSpPr>
      <xdr:spPr>
        <a:xfrm>
          <a:off x="7123206" y="9819528"/>
          <a:ext cx="1703295" cy="239059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900">
              <a:solidFill>
                <a:sysClr val="windowText" lastClr="000000"/>
              </a:solidFill>
            </a:rPr>
            <a:t>0</a:t>
          </a:r>
        </a:p>
      </xdr:txBody>
    </xdr:sp>
    <xdr:clientData/>
  </xdr:twoCellAnchor>
  <xdr:twoCellAnchor>
    <xdr:from>
      <xdr:col>8</xdr:col>
      <xdr:colOff>231587</xdr:colOff>
      <xdr:row>65</xdr:row>
      <xdr:rowOff>18117</xdr:rowOff>
    </xdr:from>
    <xdr:to>
      <xdr:col>11</xdr:col>
      <xdr:colOff>97117</xdr:colOff>
      <xdr:row>66</xdr:row>
      <xdr:rowOff>92824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93E238FB-3E68-44FC-8108-8F3D543DD7C3}"/>
            </a:ext>
          </a:extLst>
        </xdr:cNvPr>
        <xdr:cNvSpPr/>
      </xdr:nvSpPr>
      <xdr:spPr>
        <a:xfrm>
          <a:off x="7145616" y="10215470"/>
          <a:ext cx="1680883" cy="231589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900">
              <a:solidFill>
                <a:sysClr val="windowText" lastClr="000000"/>
              </a:solidFill>
            </a:rPr>
            <a:t>IDR 11,699,202.35</a:t>
          </a:r>
        </a:p>
      </xdr:txBody>
    </xdr:sp>
    <xdr:clientData/>
  </xdr:twoCellAnchor>
  <xdr:twoCellAnchor>
    <xdr:from>
      <xdr:col>8</xdr:col>
      <xdr:colOff>201707</xdr:colOff>
      <xdr:row>55</xdr:row>
      <xdr:rowOff>44824</xdr:rowOff>
    </xdr:from>
    <xdr:to>
      <xdr:col>11</xdr:col>
      <xdr:colOff>64062</xdr:colOff>
      <xdr:row>56</xdr:row>
      <xdr:rowOff>113181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1625D1A4-5FBE-4D44-B329-0C95335C3554}"/>
            </a:ext>
          </a:extLst>
        </xdr:cNvPr>
        <xdr:cNvSpPr/>
      </xdr:nvSpPr>
      <xdr:spPr>
        <a:xfrm>
          <a:off x="7115736" y="8516471"/>
          <a:ext cx="1677708" cy="225239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900">
              <a:solidFill>
                <a:schemeClr val="tx1"/>
              </a:solidFill>
            </a:rPr>
            <a:t>IDR </a:t>
          </a:r>
          <a:r>
            <a:rPr lang="id-ID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72,756,013.16</a:t>
          </a:r>
          <a:endParaRPr lang="id-ID" sz="9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1524000</xdr:colOff>
      <xdr:row>59</xdr:row>
      <xdr:rowOff>68355</xdr:rowOff>
    </xdr:from>
    <xdr:to>
      <xdr:col>7</xdr:col>
      <xdr:colOff>578410</xdr:colOff>
      <xdr:row>61</xdr:row>
      <xdr:rowOff>7471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B54195E2-A67E-412C-BDF1-8D2ACB8200EC}"/>
            </a:ext>
          </a:extLst>
        </xdr:cNvPr>
        <xdr:cNvSpPr/>
      </xdr:nvSpPr>
      <xdr:spPr>
        <a:xfrm>
          <a:off x="5681382" y="9324414"/>
          <a:ext cx="1205940" cy="252881"/>
        </a:xfrm>
        <a:prstGeom prst="roundRect">
          <a:avLst/>
        </a:prstGeom>
        <a:solidFill>
          <a:schemeClr val="bg2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900">
              <a:solidFill>
                <a:sysClr val="windowText" lastClr="000000"/>
              </a:solidFill>
            </a:rPr>
            <a:t>DN-2609-006 :</a:t>
          </a:r>
        </a:p>
      </xdr:txBody>
    </xdr:sp>
    <xdr:clientData/>
  </xdr:twoCellAnchor>
  <xdr:twoCellAnchor>
    <xdr:from>
      <xdr:col>8</xdr:col>
      <xdr:colOff>209174</xdr:colOff>
      <xdr:row>59</xdr:row>
      <xdr:rowOff>67235</xdr:rowOff>
    </xdr:from>
    <xdr:to>
      <xdr:col>11</xdr:col>
      <xdr:colOff>83295</xdr:colOff>
      <xdr:row>60</xdr:row>
      <xdr:rowOff>153709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7D77053A-97E8-46F2-9CB9-E1916873803E}"/>
            </a:ext>
          </a:extLst>
        </xdr:cNvPr>
        <xdr:cNvSpPr/>
      </xdr:nvSpPr>
      <xdr:spPr>
        <a:xfrm>
          <a:off x="7123203" y="9323294"/>
          <a:ext cx="1689474" cy="243356"/>
        </a:xfrm>
        <a:prstGeom prst="roundRect">
          <a:avLst/>
        </a:prstGeom>
        <a:solidFill>
          <a:schemeClr val="bg2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900">
              <a:solidFill>
                <a:sysClr val="windowText" lastClr="000000"/>
              </a:solidFill>
            </a:rPr>
            <a:t>IDR 52,927,927.93</a:t>
          </a:r>
        </a:p>
      </xdr:txBody>
    </xdr:sp>
    <xdr:clientData/>
  </xdr:twoCellAnchor>
  <xdr:twoCellAnchor>
    <xdr:from>
      <xdr:col>7</xdr:col>
      <xdr:colOff>333000</xdr:colOff>
      <xdr:row>45</xdr:row>
      <xdr:rowOff>56030</xdr:rowOff>
    </xdr:from>
    <xdr:to>
      <xdr:col>11</xdr:col>
      <xdr:colOff>190499</xdr:colOff>
      <xdr:row>46</xdr:row>
      <xdr:rowOff>123266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007A0C3C-0C3D-4E80-8439-1D029FBD3CE9}"/>
            </a:ext>
          </a:extLst>
        </xdr:cNvPr>
        <xdr:cNvSpPr/>
      </xdr:nvSpPr>
      <xdr:spPr>
        <a:xfrm>
          <a:off x="6641912" y="7115736"/>
          <a:ext cx="2277969" cy="224118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900">
              <a:solidFill>
                <a:sysClr val="windowText" lastClr="000000"/>
              </a:solidFill>
            </a:rPr>
            <a:t>IDR 11,699,202.35</a:t>
          </a:r>
        </a:p>
      </xdr:txBody>
    </xdr:sp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37F51D4-2C2E-4170-A301-403B9ADAE8E9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b1502216-26c5-4f30-99de-e4a749c4fed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D410C-BF48-46DD-859A-820E1F272B09}">
  <dimension ref="A1"/>
  <sheetViews>
    <sheetView zoomScaleNormal="100" workbookViewId="0">
      <selection activeCell="U11" sqref="U11"/>
    </sheetView>
  </sheetViews>
  <sheetFormatPr defaultRowHeight="12.5" x14ac:dyDescent="0.25"/>
  <cols>
    <col min="1" max="16384" width="8.7265625" style="2"/>
  </cols>
  <sheetData>
    <row r="1" spans="1:1" ht="13" x14ac:dyDescent="0.25">
      <c r="A1" s="3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BC931-A023-4692-AAD7-4D01A4F560B2}">
  <dimension ref="A2:M48"/>
  <sheetViews>
    <sheetView workbookViewId="0">
      <selection activeCell="E15" sqref="E15"/>
    </sheetView>
  </sheetViews>
  <sheetFormatPr defaultRowHeight="14" x14ac:dyDescent="0.3"/>
  <cols>
    <col min="1" max="1" width="20.90625" style="101" bestFit="1" customWidth="1"/>
    <col min="2" max="2" width="10" style="101" bestFit="1" customWidth="1"/>
    <col min="3" max="3" width="9.7265625" style="101" bestFit="1" customWidth="1"/>
    <col min="4" max="4" width="10.08984375" style="101" bestFit="1" customWidth="1"/>
    <col min="5" max="5" width="15.26953125" style="101" customWidth="1"/>
    <col min="6" max="6" width="15" style="101" bestFit="1" customWidth="1"/>
    <col min="7" max="7" width="14.7265625" style="101" bestFit="1" customWidth="1"/>
    <col min="8" max="8" width="18" style="101" bestFit="1" customWidth="1"/>
    <col min="9" max="9" width="15" style="101" bestFit="1" customWidth="1"/>
    <col min="10" max="10" width="12.54296875" style="101" bestFit="1" customWidth="1"/>
    <col min="11" max="16384" width="8.7265625" style="101"/>
  </cols>
  <sheetData>
    <row r="2" spans="1:10" ht="18" x14ac:dyDescent="0.4">
      <c r="A2" s="192" t="s">
        <v>338</v>
      </c>
      <c r="B2" s="192"/>
      <c r="C2" s="192"/>
      <c r="D2" s="192"/>
      <c r="E2" s="192"/>
      <c r="F2" s="192"/>
      <c r="G2" s="192"/>
    </row>
    <row r="4" spans="1:10" x14ac:dyDescent="0.3">
      <c r="B4" s="143" t="s">
        <v>339</v>
      </c>
      <c r="C4" s="143" t="s">
        <v>69</v>
      </c>
      <c r="D4" s="143" t="s">
        <v>340</v>
      </c>
      <c r="E4" s="143" t="s">
        <v>341</v>
      </c>
      <c r="F4" s="143" t="s">
        <v>342</v>
      </c>
      <c r="G4" s="143" t="s">
        <v>343</v>
      </c>
    </row>
    <row r="5" spans="1:10" x14ac:dyDescent="0.3">
      <c r="A5" s="143" t="s">
        <v>344</v>
      </c>
      <c r="B5" s="144">
        <v>46252</v>
      </c>
      <c r="C5" s="145">
        <v>3805.9993116809756</v>
      </c>
      <c r="D5" s="145">
        <v>16936.939999999999</v>
      </c>
      <c r="E5" s="145">
        <f>C5*D5</f>
        <v>64461981.981981978</v>
      </c>
      <c r="F5" s="146">
        <f>E5*11%</f>
        <v>7090818.0180180175</v>
      </c>
      <c r="G5" s="146">
        <f>SUM(E5:F5)</f>
        <v>71552800</v>
      </c>
    </row>
    <row r="7" spans="1:10" x14ac:dyDescent="0.3">
      <c r="A7" s="143" t="s">
        <v>345</v>
      </c>
      <c r="B7" s="144">
        <v>46253</v>
      </c>
      <c r="C7" s="145"/>
      <c r="D7" s="145"/>
      <c r="E7" s="145"/>
      <c r="F7" s="145"/>
      <c r="G7" s="145">
        <v>71552800</v>
      </c>
      <c r="H7" s="147" t="s">
        <v>346</v>
      </c>
    </row>
    <row r="9" spans="1:10" x14ac:dyDescent="0.3">
      <c r="A9" s="143" t="s">
        <v>347</v>
      </c>
      <c r="B9" s="144">
        <v>46253</v>
      </c>
      <c r="C9" s="145">
        <v>3805.9993116809756</v>
      </c>
      <c r="D9" s="145">
        <v>16936.939999999999</v>
      </c>
      <c r="E9" s="145">
        <f>C9*D9</f>
        <v>64461981.981981978</v>
      </c>
      <c r="F9" s="146"/>
      <c r="G9" s="146"/>
    </row>
    <row r="11" spans="1:10" x14ac:dyDescent="0.3">
      <c r="A11" s="143" t="s">
        <v>348</v>
      </c>
      <c r="B11" s="144">
        <v>46256</v>
      </c>
      <c r="C11" s="147">
        <v>681</v>
      </c>
      <c r="D11" s="145" t="s">
        <v>349</v>
      </c>
      <c r="E11" s="146">
        <f>C11*18800</f>
        <v>12802800</v>
      </c>
      <c r="G11" s="146">
        <f>E11*20%</f>
        <v>2560560</v>
      </c>
      <c r="H11" s="147" t="s">
        <v>350</v>
      </c>
      <c r="I11" s="146">
        <f>G11/1.11</f>
        <v>2306810.8108108104</v>
      </c>
      <c r="J11" s="165" t="s">
        <v>390</v>
      </c>
    </row>
    <row r="12" spans="1:10" x14ac:dyDescent="0.3">
      <c r="I12" s="148"/>
      <c r="J12" s="148"/>
    </row>
    <row r="13" spans="1:10" x14ac:dyDescent="0.3">
      <c r="A13" s="143" t="s">
        <v>351</v>
      </c>
      <c r="B13" s="144">
        <v>46260</v>
      </c>
      <c r="C13" s="149">
        <f>C5-C11</f>
        <v>3124.9993116809756</v>
      </c>
      <c r="F13" s="148"/>
      <c r="G13" s="146">
        <f>C13*18800</f>
        <v>58749987.059602343</v>
      </c>
      <c r="H13" s="149" t="s">
        <v>352</v>
      </c>
      <c r="I13" s="146"/>
    </row>
    <row r="14" spans="1:10" x14ac:dyDescent="0.3">
      <c r="B14" s="144"/>
    </row>
    <row r="15" spans="1:10" x14ac:dyDescent="0.3">
      <c r="A15" s="143" t="s">
        <v>353</v>
      </c>
      <c r="B15" s="144">
        <v>46260</v>
      </c>
      <c r="C15" s="145">
        <v>3870</v>
      </c>
      <c r="D15" s="145">
        <v>16936.939999999999</v>
      </c>
      <c r="E15" s="146">
        <f>C15*D15</f>
        <v>65545957.799999997</v>
      </c>
      <c r="F15" s="146">
        <f>E15*11%</f>
        <v>7210055.358</v>
      </c>
      <c r="G15" s="146">
        <f>SUM(E15:F15)</f>
        <v>72756013.157999992</v>
      </c>
      <c r="H15" s="147" t="s">
        <v>354</v>
      </c>
    </row>
    <row r="16" spans="1:10" x14ac:dyDescent="0.3">
      <c r="B16" s="144"/>
      <c r="C16" s="145"/>
    </row>
    <row r="17" spans="1:9" x14ac:dyDescent="0.3">
      <c r="A17" s="143" t="s">
        <v>355</v>
      </c>
      <c r="B17" s="144">
        <v>46266</v>
      </c>
      <c r="C17" s="145">
        <v>3870</v>
      </c>
      <c r="D17" s="145">
        <v>16936.939999999999</v>
      </c>
      <c r="E17" s="146">
        <f>C17*D17</f>
        <v>65545957.799999997</v>
      </c>
      <c r="F17" s="146"/>
      <c r="G17" s="146"/>
    </row>
    <row r="18" spans="1:9" x14ac:dyDescent="0.3">
      <c r="B18" s="144"/>
      <c r="C18" s="145">
        <v>681</v>
      </c>
      <c r="D18" s="145">
        <v>16936.939999999999</v>
      </c>
      <c r="E18" s="146">
        <f>C18*D18</f>
        <v>11534056.139999999</v>
      </c>
      <c r="F18" s="146"/>
      <c r="G18" s="146"/>
    </row>
    <row r="19" spans="1:9" x14ac:dyDescent="0.3">
      <c r="B19" s="144"/>
      <c r="C19" s="145"/>
      <c r="D19" s="150" t="s">
        <v>343</v>
      </c>
      <c r="E19" s="151">
        <f>SUM(E17:E18)</f>
        <v>77080013.939999998</v>
      </c>
      <c r="I19" s="145"/>
    </row>
    <row r="20" spans="1:9" x14ac:dyDescent="0.3">
      <c r="B20" s="144"/>
      <c r="C20" s="145"/>
      <c r="D20" s="150" t="s">
        <v>356</v>
      </c>
      <c r="E20" s="146">
        <f>I11</f>
        <v>2306810.8108108104</v>
      </c>
      <c r="I20" s="145"/>
    </row>
    <row r="21" spans="1:9" x14ac:dyDescent="0.3">
      <c r="B21" s="144"/>
      <c r="C21" s="145"/>
      <c r="D21" s="101" t="s">
        <v>345</v>
      </c>
      <c r="E21" s="146">
        <f>E5</f>
        <v>64461981.981981978</v>
      </c>
    </row>
    <row r="22" spans="1:9" x14ac:dyDescent="0.3">
      <c r="B22" s="144"/>
      <c r="C22" s="145"/>
      <c r="D22" s="150" t="s">
        <v>357</v>
      </c>
      <c r="E22" s="146">
        <f>E19-E20-E21</f>
        <v>10311221.147207215</v>
      </c>
      <c r="F22" s="101" t="s">
        <v>358</v>
      </c>
    </row>
    <row r="23" spans="1:9" x14ac:dyDescent="0.3">
      <c r="B23" s="144"/>
      <c r="C23" s="145"/>
      <c r="E23" s="146">
        <f>E22*11%</f>
        <v>1134234.3261927937</v>
      </c>
    </row>
    <row r="24" spans="1:9" x14ac:dyDescent="0.3">
      <c r="B24" s="144"/>
      <c r="C24" s="145"/>
      <c r="E24" s="151">
        <f>SUM(E22:E23)</f>
        <v>11445455.47340001</v>
      </c>
    </row>
    <row r="25" spans="1:9" x14ac:dyDescent="0.3">
      <c r="B25" s="144"/>
      <c r="C25" s="145"/>
    </row>
    <row r="26" spans="1:9" x14ac:dyDescent="0.3">
      <c r="B26" s="144"/>
      <c r="C26" s="145"/>
    </row>
    <row r="27" spans="1:9" x14ac:dyDescent="0.3">
      <c r="B27" s="144"/>
      <c r="C27" s="145"/>
    </row>
    <row r="28" spans="1:9" x14ac:dyDescent="0.3">
      <c r="B28" s="144"/>
      <c r="C28" s="145"/>
    </row>
    <row r="29" spans="1:9" x14ac:dyDescent="0.3">
      <c r="B29" s="144"/>
      <c r="C29" s="145"/>
    </row>
    <row r="30" spans="1:9" x14ac:dyDescent="0.3">
      <c r="B30" s="144"/>
      <c r="C30" s="145"/>
    </row>
    <row r="31" spans="1:9" x14ac:dyDescent="0.3">
      <c r="B31" s="144"/>
      <c r="C31" s="145"/>
      <c r="D31" s="145"/>
      <c r="E31" s="145"/>
      <c r="F31" s="146"/>
      <c r="G31" s="146"/>
    </row>
    <row r="32" spans="1:9" x14ac:dyDescent="0.3">
      <c r="B32" s="144"/>
    </row>
    <row r="33" spans="2:13" x14ac:dyDescent="0.3">
      <c r="B33" s="144"/>
    </row>
    <row r="34" spans="2:13" x14ac:dyDescent="0.3">
      <c r="B34" s="193"/>
      <c r="C34" s="193"/>
      <c r="D34" s="152"/>
      <c r="E34" s="153"/>
      <c r="F34" s="153"/>
      <c r="G34" s="154"/>
      <c r="H34" s="155"/>
      <c r="I34" s="152"/>
      <c r="J34" s="152"/>
      <c r="K34" s="152"/>
      <c r="L34" s="152"/>
      <c r="M34" s="152"/>
    </row>
    <row r="35" spans="2:13" x14ac:dyDescent="0.3">
      <c r="B35" s="152"/>
      <c r="C35" s="152"/>
      <c r="D35" s="152"/>
      <c r="E35" s="153"/>
    </row>
    <row r="36" spans="2:13" x14ac:dyDescent="0.3">
      <c r="B36" s="152"/>
      <c r="E36" s="153"/>
      <c r="G36" s="154"/>
    </row>
    <row r="37" spans="2:13" x14ac:dyDescent="0.3">
      <c r="B37" s="152"/>
      <c r="E37" s="153"/>
    </row>
    <row r="38" spans="2:13" x14ac:dyDescent="0.3">
      <c r="B38" s="193"/>
      <c r="C38" s="193"/>
      <c r="D38" s="152"/>
      <c r="E38" s="153"/>
      <c r="G38" s="152"/>
      <c r="H38" s="155"/>
      <c r="I38" s="146"/>
    </row>
    <row r="39" spans="2:13" x14ac:dyDescent="0.3">
      <c r="E39" s="153"/>
    </row>
    <row r="40" spans="2:13" x14ac:dyDescent="0.3">
      <c r="E40" s="153"/>
      <c r="G40" s="154"/>
      <c r="H40" s="146"/>
      <c r="I40" s="146"/>
    </row>
    <row r="41" spans="2:13" x14ac:dyDescent="0.3">
      <c r="E41" s="153"/>
      <c r="G41" s="156"/>
      <c r="H41" s="146"/>
    </row>
    <row r="42" spans="2:13" x14ac:dyDescent="0.3">
      <c r="B42" s="193"/>
      <c r="C42" s="193"/>
      <c r="D42" s="152"/>
      <c r="E42" s="153"/>
      <c r="G42" s="154"/>
    </row>
    <row r="44" spans="2:13" x14ac:dyDescent="0.3">
      <c r="G44" s="154"/>
    </row>
    <row r="46" spans="2:13" x14ac:dyDescent="0.3">
      <c r="B46" s="193"/>
      <c r="C46" s="193"/>
      <c r="D46" s="153"/>
      <c r="E46" s="153"/>
      <c r="G46" s="154"/>
    </row>
    <row r="48" spans="2:13" x14ac:dyDescent="0.3">
      <c r="B48" s="191"/>
      <c r="C48" s="191"/>
      <c r="G48" s="154"/>
    </row>
  </sheetData>
  <mergeCells count="6">
    <mergeCell ref="B48:C48"/>
    <mergeCell ref="A2:G2"/>
    <mergeCell ref="B34:C34"/>
    <mergeCell ref="B38:C38"/>
    <mergeCell ref="B42:C42"/>
    <mergeCell ref="B46:C46"/>
  </mergeCells>
  <pageMargins left="0.7" right="0.7" top="0.75" bottom="0.75" header="0.3" footer="0.3"/>
  <pageSetup orientation="portrait" horizontalDpi="180" verticalDpi="18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79F7D-24EB-404A-8727-4258DEAE39B3}">
  <dimension ref="A1:G152"/>
  <sheetViews>
    <sheetView zoomScaleNormal="100" workbookViewId="0">
      <selection activeCell="C128" sqref="C128"/>
    </sheetView>
  </sheetViews>
  <sheetFormatPr defaultRowHeight="12.5" x14ac:dyDescent="0.25"/>
  <cols>
    <col min="1" max="2" width="8.7265625" style="2"/>
    <col min="3" max="4" width="13.81640625" style="2" bestFit="1" customWidth="1"/>
    <col min="5" max="5" width="14.81640625" style="2" bestFit="1" customWidth="1"/>
    <col min="6" max="6" width="13.54296875" style="2" customWidth="1"/>
    <col min="7" max="16384" width="8.7265625" style="2"/>
  </cols>
  <sheetData>
    <row r="1" spans="1:6" ht="13" x14ac:dyDescent="0.25">
      <c r="A1" s="3" t="s">
        <v>359</v>
      </c>
    </row>
    <row r="3" spans="1:6" ht="13" x14ac:dyDescent="0.25">
      <c r="A3" s="3" t="s">
        <v>360</v>
      </c>
    </row>
    <row r="4" spans="1:6" x14ac:dyDescent="0.25">
      <c r="B4" s="68" t="s">
        <v>12</v>
      </c>
      <c r="C4" s="4" t="s">
        <v>338</v>
      </c>
    </row>
    <row r="6" spans="1:6" ht="13" x14ac:dyDescent="0.25">
      <c r="B6" s="5" t="s">
        <v>4</v>
      </c>
      <c r="C6" s="5" t="s">
        <v>361</v>
      </c>
      <c r="D6" s="5" t="s">
        <v>69</v>
      </c>
      <c r="E6" s="5" t="s">
        <v>362</v>
      </c>
      <c r="F6" s="5" t="s">
        <v>235</v>
      </c>
    </row>
    <row r="7" spans="1:6" ht="13" x14ac:dyDescent="0.25">
      <c r="B7" s="8">
        <v>1</v>
      </c>
      <c r="C7" s="76" t="s">
        <v>363</v>
      </c>
      <c r="D7" s="78">
        <f>'Case HFG'!C5</f>
        <v>3805.9993116809756</v>
      </c>
      <c r="E7" s="78">
        <f>'Case HFG'!D5</f>
        <v>16936.939999999999</v>
      </c>
      <c r="F7" s="160">
        <f>D7*E7</f>
        <v>64461981.981981978</v>
      </c>
    </row>
    <row r="9" spans="1:6" x14ac:dyDescent="0.25">
      <c r="E9" s="68" t="s">
        <v>365</v>
      </c>
      <c r="F9" s="158">
        <f>F7*(11/12)</f>
        <v>59090150.150150143</v>
      </c>
    </row>
    <row r="10" spans="1:6" x14ac:dyDescent="0.25">
      <c r="E10" s="68" t="s">
        <v>364</v>
      </c>
      <c r="F10" s="158">
        <f>F9*12%</f>
        <v>7090818.0180180166</v>
      </c>
    </row>
    <row r="11" spans="1:6" ht="13" x14ac:dyDescent="0.25">
      <c r="E11" s="68" t="s">
        <v>366</v>
      </c>
      <c r="F11" s="159">
        <f>F10+F7</f>
        <v>71552800</v>
      </c>
    </row>
    <row r="13" spans="1:6" ht="13" x14ac:dyDescent="0.25">
      <c r="A13" s="3" t="s">
        <v>374</v>
      </c>
    </row>
    <row r="15" spans="1:6" x14ac:dyDescent="0.25">
      <c r="B15" s="68" t="s">
        <v>367</v>
      </c>
      <c r="C15" s="161">
        <v>1</v>
      </c>
    </row>
    <row r="16" spans="1:6" x14ac:dyDescent="0.25">
      <c r="B16" s="68" t="s">
        <v>368</v>
      </c>
      <c r="C16" s="158">
        <f>C15*F7</f>
        <v>64461981.981981978</v>
      </c>
    </row>
    <row r="18" spans="1:5" x14ac:dyDescent="0.25">
      <c r="B18" s="68" t="s">
        <v>365</v>
      </c>
      <c r="C18" s="158">
        <f>C16*(11/12)</f>
        <v>59090150.150150143</v>
      </c>
    </row>
    <row r="19" spans="1:5" x14ac:dyDescent="0.25">
      <c r="B19" s="68" t="s">
        <v>364</v>
      </c>
      <c r="C19" s="158">
        <f>C18*12%</f>
        <v>7090818.0180180166</v>
      </c>
    </row>
    <row r="20" spans="1:5" ht="13" x14ac:dyDescent="0.25">
      <c r="B20" s="68" t="s">
        <v>369</v>
      </c>
      <c r="C20" s="159">
        <f>C19+C16</f>
        <v>71552800</v>
      </c>
    </row>
    <row r="22" spans="1:5" x14ac:dyDescent="0.25">
      <c r="B22" s="4" t="s">
        <v>327</v>
      </c>
    </row>
    <row r="23" spans="1:5" ht="13" x14ac:dyDescent="0.25">
      <c r="C23" s="5" t="s">
        <v>328</v>
      </c>
      <c r="D23" s="5" t="s">
        <v>329</v>
      </c>
      <c r="E23" s="5" t="s">
        <v>370</v>
      </c>
    </row>
    <row r="24" spans="1:5" x14ac:dyDescent="0.25">
      <c r="C24" s="76" t="s">
        <v>345</v>
      </c>
      <c r="D24" s="137">
        <f>C16</f>
        <v>64461981.981981978</v>
      </c>
      <c r="E24" s="8"/>
    </row>
    <row r="25" spans="1:5" x14ac:dyDescent="0.25">
      <c r="C25" s="76" t="s">
        <v>372</v>
      </c>
      <c r="D25" s="137">
        <f>C19</f>
        <v>7090818.0180180166</v>
      </c>
      <c r="E25" s="8"/>
    </row>
    <row r="26" spans="1:5" x14ac:dyDescent="0.25">
      <c r="C26" s="138" t="s">
        <v>371</v>
      </c>
      <c r="D26" s="8"/>
      <c r="E26" s="137">
        <f>C20</f>
        <v>71552800</v>
      </c>
    </row>
    <row r="27" spans="1:5" ht="13" x14ac:dyDescent="0.25">
      <c r="D27" s="159">
        <f>SUM(D24:D26)</f>
        <v>71552800</v>
      </c>
      <c r="E27" s="159">
        <f>SUM(E24:E26)</f>
        <v>71552800</v>
      </c>
    </row>
    <row r="28" spans="1:5" ht="13" x14ac:dyDescent="0.25">
      <c r="A28" s="3" t="s">
        <v>373</v>
      </c>
    </row>
    <row r="30" spans="1:5" x14ac:dyDescent="0.25">
      <c r="B30" s="68" t="s">
        <v>369</v>
      </c>
      <c r="C30" s="158">
        <f>C20</f>
        <v>71552800</v>
      </c>
    </row>
    <row r="32" spans="1:5" x14ac:dyDescent="0.25">
      <c r="B32" s="68" t="s">
        <v>375</v>
      </c>
      <c r="C32" s="158">
        <f>C30</f>
        <v>71552800</v>
      </c>
    </row>
    <row r="33" spans="1:5" x14ac:dyDescent="0.25">
      <c r="B33" s="68" t="s">
        <v>376</v>
      </c>
      <c r="C33" s="2">
        <v>0</v>
      </c>
    </row>
    <row r="35" spans="1:5" x14ac:dyDescent="0.25">
      <c r="B35" s="4" t="s">
        <v>327</v>
      </c>
    </row>
    <row r="36" spans="1:5" ht="13" x14ac:dyDescent="0.25">
      <c r="C36" s="5" t="s">
        <v>328</v>
      </c>
      <c r="D36" s="5" t="s">
        <v>329</v>
      </c>
      <c r="E36" s="5" t="s">
        <v>370</v>
      </c>
    </row>
    <row r="37" spans="1:5" x14ac:dyDescent="0.25">
      <c r="C37" s="76" t="s">
        <v>371</v>
      </c>
      <c r="D37" s="137">
        <f>E26</f>
        <v>71552800</v>
      </c>
      <c r="E37" s="8"/>
    </row>
    <row r="38" spans="1:5" x14ac:dyDescent="0.25">
      <c r="C38" s="138" t="s">
        <v>377</v>
      </c>
      <c r="D38" s="137"/>
      <c r="E38" s="137">
        <f>C32</f>
        <v>71552800</v>
      </c>
    </row>
    <row r="39" spans="1:5" x14ac:dyDescent="0.25">
      <c r="C39" s="138" t="s">
        <v>379</v>
      </c>
      <c r="D39" s="8"/>
      <c r="E39" s="137">
        <f>C33</f>
        <v>0</v>
      </c>
    </row>
    <row r="40" spans="1:5" x14ac:dyDescent="0.25">
      <c r="C40" s="162" t="s">
        <v>378</v>
      </c>
      <c r="D40" s="8">
        <f>C33</f>
        <v>0</v>
      </c>
      <c r="E40" s="137"/>
    </row>
    <row r="41" spans="1:5" ht="13" x14ac:dyDescent="0.25">
      <c r="D41" s="159">
        <f>SUM(D37:D40)</f>
        <v>71552800</v>
      </c>
      <c r="E41" s="159">
        <f>SUM(E37:E40)</f>
        <v>71552800</v>
      </c>
    </row>
    <row r="43" spans="1:5" ht="13" x14ac:dyDescent="0.25">
      <c r="A43" s="3" t="s">
        <v>380</v>
      </c>
    </row>
    <row r="45" spans="1:5" x14ac:dyDescent="0.25">
      <c r="B45" s="68" t="s">
        <v>382</v>
      </c>
      <c r="C45" s="157">
        <f>'Case HFG'!C9</f>
        <v>3805.9993116809756</v>
      </c>
    </row>
    <row r="46" spans="1:5" x14ac:dyDescent="0.25">
      <c r="B46" s="68" t="s">
        <v>383</v>
      </c>
      <c r="C46" s="157">
        <f>'Case HFG'!D9</f>
        <v>16936.939999999999</v>
      </c>
    </row>
    <row r="47" spans="1:5" ht="13" x14ac:dyDescent="0.25">
      <c r="B47" s="68" t="s">
        <v>381</v>
      </c>
      <c r="C47" s="163">
        <f>C45*C46</f>
        <v>64461981.981981978</v>
      </c>
    </row>
    <row r="49" spans="1:7" x14ac:dyDescent="0.25">
      <c r="B49" s="4" t="s">
        <v>327</v>
      </c>
    </row>
    <row r="50" spans="1:7" ht="13" x14ac:dyDescent="0.25">
      <c r="C50" s="5" t="s">
        <v>328</v>
      </c>
      <c r="D50" s="5" t="s">
        <v>329</v>
      </c>
      <c r="E50" s="5" t="s">
        <v>370</v>
      </c>
    </row>
    <row r="51" spans="1:7" x14ac:dyDescent="0.25">
      <c r="C51" s="76" t="s">
        <v>384</v>
      </c>
      <c r="D51" s="137">
        <f>C47</f>
        <v>64461981.981981978</v>
      </c>
      <c r="E51" s="8"/>
    </row>
    <row r="52" spans="1:7" x14ac:dyDescent="0.25">
      <c r="C52" s="138" t="s">
        <v>385</v>
      </c>
      <c r="D52" s="137"/>
      <c r="E52" s="137">
        <f>D51-D24</f>
        <v>0</v>
      </c>
    </row>
    <row r="53" spans="1:7" x14ac:dyDescent="0.25">
      <c r="C53" s="138" t="s">
        <v>345</v>
      </c>
      <c r="D53" s="8"/>
      <c r="E53" s="137">
        <f>C47</f>
        <v>64461981.981981978</v>
      </c>
    </row>
    <row r="54" spans="1:7" x14ac:dyDescent="0.25">
      <c r="C54" s="162"/>
      <c r="D54" s="8"/>
      <c r="E54" s="137"/>
    </row>
    <row r="55" spans="1:7" ht="13" x14ac:dyDescent="0.25">
      <c r="D55" s="159">
        <f>SUM(D51:D54)</f>
        <v>64461981.981981978</v>
      </c>
      <c r="E55" s="159">
        <f>SUM(E51:E54)</f>
        <v>64461981.981981978</v>
      </c>
    </row>
    <row r="57" spans="1:7" ht="13" x14ac:dyDescent="0.25">
      <c r="A57" s="3" t="s">
        <v>386</v>
      </c>
    </row>
    <row r="59" spans="1:7" x14ac:dyDescent="0.25">
      <c r="B59" s="68" t="s">
        <v>388</v>
      </c>
      <c r="C59" s="95">
        <v>681</v>
      </c>
      <c r="D59" s="2" t="s">
        <v>387</v>
      </c>
    </row>
    <row r="60" spans="1:7" x14ac:dyDescent="0.25">
      <c r="B60" s="68" t="s">
        <v>389</v>
      </c>
      <c r="C60" s="95">
        <v>3125</v>
      </c>
      <c r="D60" s="2" t="s">
        <v>387</v>
      </c>
    </row>
    <row r="62" spans="1:7" ht="13" x14ac:dyDescent="0.25">
      <c r="C62" s="80" t="s">
        <v>77</v>
      </c>
      <c r="D62" s="80" t="s">
        <v>391</v>
      </c>
      <c r="E62" s="80" t="s">
        <v>392</v>
      </c>
      <c r="F62" s="80" t="s">
        <v>393</v>
      </c>
      <c r="G62" s="80" t="s">
        <v>394</v>
      </c>
    </row>
    <row r="63" spans="1:7" x14ac:dyDescent="0.25">
      <c r="C63" s="166">
        <f>C59</f>
        <v>681</v>
      </c>
      <c r="D63" s="166">
        <f>C60</f>
        <v>3125</v>
      </c>
      <c r="E63" s="167">
        <f>C63+D63</f>
        <v>3806</v>
      </c>
      <c r="F63" s="168">
        <f>C45</f>
        <v>3805.9993116809756</v>
      </c>
      <c r="G63" s="169">
        <f>E63-F63</f>
        <v>6.8831902444799198E-4</v>
      </c>
    </row>
    <row r="65" spans="1:6" ht="13" x14ac:dyDescent="0.25">
      <c r="B65" s="77" t="s">
        <v>395</v>
      </c>
      <c r="C65" s="80" t="s">
        <v>341</v>
      </c>
      <c r="D65" s="80" t="s">
        <v>407</v>
      </c>
      <c r="E65" s="80" t="s">
        <v>401</v>
      </c>
    </row>
    <row r="66" spans="1:6" x14ac:dyDescent="0.25">
      <c r="C66" s="166">
        <f>C63</f>
        <v>681</v>
      </c>
      <c r="D66" s="166">
        <v>18800</v>
      </c>
      <c r="E66" s="137">
        <f>C66*D66</f>
        <v>12802800</v>
      </c>
    </row>
    <row r="68" spans="1:6" ht="13" x14ac:dyDescent="0.25">
      <c r="B68" s="77" t="s">
        <v>389</v>
      </c>
      <c r="C68" s="80" t="s">
        <v>341</v>
      </c>
      <c r="D68" s="80" t="s">
        <v>407</v>
      </c>
      <c r="E68" s="80" t="s">
        <v>401</v>
      </c>
    </row>
    <row r="69" spans="1:6" x14ac:dyDescent="0.25">
      <c r="C69" s="166">
        <f>D63</f>
        <v>3125</v>
      </c>
      <c r="D69" s="166">
        <v>18800</v>
      </c>
      <c r="E69" s="170">
        <f>C69*D69</f>
        <v>58750000</v>
      </c>
    </row>
    <row r="72" spans="1:6" ht="13" x14ac:dyDescent="0.25">
      <c r="A72" s="3" t="s">
        <v>396</v>
      </c>
    </row>
    <row r="74" spans="1:6" ht="13" x14ac:dyDescent="0.25">
      <c r="B74" s="171" t="s">
        <v>142</v>
      </c>
      <c r="C74" s="4" t="s">
        <v>397</v>
      </c>
    </row>
    <row r="75" spans="1:6" ht="13" x14ac:dyDescent="0.25">
      <c r="C75" s="77" t="s">
        <v>395</v>
      </c>
      <c r="D75" s="168">
        <f>E66</f>
        <v>12802800</v>
      </c>
    </row>
    <row r="76" spans="1:6" ht="13" x14ac:dyDescent="0.25">
      <c r="C76" s="77" t="s">
        <v>398</v>
      </c>
      <c r="D76" s="158">
        <f>D75*20%</f>
        <v>2560560</v>
      </c>
      <c r="E76" s="4" t="s">
        <v>399</v>
      </c>
    </row>
    <row r="77" spans="1:6" ht="13" x14ac:dyDescent="0.25">
      <c r="C77" s="77" t="s">
        <v>400</v>
      </c>
      <c r="D77" s="158">
        <f>D76/1.11</f>
        <v>2306810.8108108104</v>
      </c>
      <c r="E77" s="4" t="s">
        <v>411</v>
      </c>
    </row>
    <row r="79" spans="1:6" ht="13" x14ac:dyDescent="0.25">
      <c r="A79" s="3"/>
    </row>
    <row r="80" spans="1:6" ht="26" x14ac:dyDescent="0.25">
      <c r="B80" s="171" t="s">
        <v>153</v>
      </c>
      <c r="C80" s="80" t="s">
        <v>341</v>
      </c>
      <c r="D80" s="80" t="s">
        <v>407</v>
      </c>
      <c r="E80" s="80" t="s">
        <v>392</v>
      </c>
      <c r="F80" s="72" t="s">
        <v>406</v>
      </c>
    </row>
    <row r="81" spans="1:6" x14ac:dyDescent="0.25">
      <c r="C81" s="166">
        <f>C69</f>
        <v>3125</v>
      </c>
      <c r="D81" s="166">
        <v>18800</v>
      </c>
      <c r="E81" s="170">
        <f>C81*D81</f>
        <v>58750000</v>
      </c>
      <c r="F81" s="158">
        <f>E81/1.11</f>
        <v>52927927.927927926</v>
      </c>
    </row>
    <row r="82" spans="1:6" x14ac:dyDescent="0.25">
      <c r="C82" s="172"/>
      <c r="D82" s="172"/>
      <c r="E82" s="172"/>
    </row>
    <row r="83" spans="1:6" x14ac:dyDescent="0.25">
      <c r="B83" s="4" t="s">
        <v>327</v>
      </c>
    </row>
    <row r="84" spans="1:6" ht="13" x14ac:dyDescent="0.25">
      <c r="C84" s="5" t="s">
        <v>328</v>
      </c>
      <c r="D84" s="5" t="s">
        <v>329</v>
      </c>
      <c r="E84" s="5" t="s">
        <v>370</v>
      </c>
    </row>
    <row r="85" spans="1:6" ht="25" x14ac:dyDescent="0.25">
      <c r="C85" s="173" t="s">
        <v>403</v>
      </c>
      <c r="D85" s="137">
        <f>D77</f>
        <v>2306810.8108108104</v>
      </c>
      <c r="E85" s="8"/>
    </row>
    <row r="86" spans="1:6" ht="25" x14ac:dyDescent="0.25">
      <c r="C86" s="173" t="s">
        <v>404</v>
      </c>
      <c r="D86" s="137">
        <f>F81</f>
        <v>52927927.927927926</v>
      </c>
      <c r="E86" s="137"/>
    </row>
    <row r="87" spans="1:6" ht="25" x14ac:dyDescent="0.25">
      <c r="C87" s="175" t="s">
        <v>433</v>
      </c>
      <c r="D87" s="8"/>
      <c r="E87" s="137">
        <f>D77</f>
        <v>2306810.8108108104</v>
      </c>
    </row>
    <row r="88" spans="1:6" x14ac:dyDescent="0.25">
      <c r="C88" s="138" t="s">
        <v>405</v>
      </c>
      <c r="D88" s="8"/>
      <c r="E88" s="137">
        <f>F81</f>
        <v>52927927.927927926</v>
      </c>
    </row>
    <row r="89" spans="1:6" ht="13" x14ac:dyDescent="0.25">
      <c r="D89" s="159">
        <f>SUM(D85:D88)</f>
        <v>55234738.738738738</v>
      </c>
      <c r="E89" s="159">
        <f>SUM(E85:E88)</f>
        <v>55234738.738738738</v>
      </c>
    </row>
    <row r="90" spans="1:6" x14ac:dyDescent="0.25">
      <c r="C90" s="166"/>
      <c r="D90" s="166"/>
      <c r="E90" s="172"/>
    </row>
    <row r="93" spans="1:6" ht="13" x14ac:dyDescent="0.25">
      <c r="A93" s="3" t="s">
        <v>402</v>
      </c>
    </row>
    <row r="95" spans="1:6" x14ac:dyDescent="0.25">
      <c r="B95" s="68" t="s">
        <v>12</v>
      </c>
      <c r="C95" s="4" t="s">
        <v>338</v>
      </c>
    </row>
    <row r="97" spans="1:6" ht="13" x14ac:dyDescent="0.25">
      <c r="B97" s="5" t="s">
        <v>4</v>
      </c>
      <c r="C97" s="5" t="s">
        <v>361</v>
      </c>
      <c r="D97" s="5" t="s">
        <v>69</v>
      </c>
      <c r="E97" s="5" t="s">
        <v>362</v>
      </c>
      <c r="F97" s="5" t="s">
        <v>235</v>
      </c>
    </row>
    <row r="98" spans="1:6" ht="13" x14ac:dyDescent="0.25">
      <c r="B98" s="8">
        <v>1</v>
      </c>
      <c r="C98" s="76" t="s">
        <v>363</v>
      </c>
      <c r="D98" s="78">
        <f>'Case HFG'!C15</f>
        <v>3870</v>
      </c>
      <c r="E98" s="78">
        <f>'Case HFG'!D15</f>
        <v>16936.939999999999</v>
      </c>
      <c r="F98" s="160">
        <f>D98*E98</f>
        <v>65545957.799999997</v>
      </c>
    </row>
    <row r="100" spans="1:6" x14ac:dyDescent="0.25">
      <c r="E100" s="68" t="s">
        <v>365</v>
      </c>
      <c r="F100" s="158">
        <f>F98*(11/12)</f>
        <v>60083794.649999999</v>
      </c>
    </row>
    <row r="101" spans="1:6" x14ac:dyDescent="0.25">
      <c r="E101" s="68" t="s">
        <v>364</v>
      </c>
      <c r="F101" s="158">
        <f>F100*12%</f>
        <v>7210055.358</v>
      </c>
    </row>
    <row r="102" spans="1:6" ht="13" x14ac:dyDescent="0.25">
      <c r="E102" s="68" t="s">
        <v>366</v>
      </c>
      <c r="F102" s="159">
        <f>F101+F98</f>
        <v>72756013.157999992</v>
      </c>
    </row>
    <row r="104" spans="1:6" ht="13" x14ac:dyDescent="0.25">
      <c r="A104" s="3" t="s">
        <v>410</v>
      </c>
    </row>
    <row r="106" spans="1:6" x14ac:dyDescent="0.25">
      <c r="B106" s="68" t="s">
        <v>367</v>
      </c>
      <c r="C106" s="161">
        <v>1</v>
      </c>
    </row>
    <row r="107" spans="1:6" x14ac:dyDescent="0.25">
      <c r="B107" s="68" t="s">
        <v>368</v>
      </c>
      <c r="C107" s="158">
        <f>C106*F98</f>
        <v>65545957.799999997</v>
      </c>
    </row>
    <row r="109" spans="1:6" x14ac:dyDescent="0.25">
      <c r="B109" s="68" t="s">
        <v>365</v>
      </c>
      <c r="C109" s="158">
        <f>C107*(11/12)</f>
        <v>60083794.649999999</v>
      </c>
    </row>
    <row r="110" spans="1:6" x14ac:dyDescent="0.25">
      <c r="B110" s="68" t="s">
        <v>364</v>
      </c>
      <c r="C110" s="158">
        <f>C109*12%</f>
        <v>7210055.358</v>
      </c>
    </row>
    <row r="111" spans="1:6" ht="13" x14ac:dyDescent="0.25">
      <c r="B111" s="68" t="s">
        <v>369</v>
      </c>
      <c r="C111" s="159">
        <f>C110+C107</f>
        <v>72756013.157999992</v>
      </c>
    </row>
    <row r="113" spans="1:5" x14ac:dyDescent="0.25">
      <c r="B113" s="4" t="s">
        <v>327</v>
      </c>
    </row>
    <row r="114" spans="1:5" ht="13" x14ac:dyDescent="0.25">
      <c r="C114" s="5" t="s">
        <v>328</v>
      </c>
      <c r="D114" s="5" t="s">
        <v>329</v>
      </c>
      <c r="E114" s="5" t="s">
        <v>370</v>
      </c>
    </row>
    <row r="115" spans="1:5" x14ac:dyDescent="0.25">
      <c r="C115" s="76" t="s">
        <v>345</v>
      </c>
      <c r="D115" s="137">
        <f>C107</f>
        <v>65545957.799999997</v>
      </c>
      <c r="E115" s="8"/>
    </row>
    <row r="116" spans="1:5" x14ac:dyDescent="0.25">
      <c r="C116" s="76" t="s">
        <v>372</v>
      </c>
      <c r="D116" s="137">
        <f>C110</f>
        <v>7210055.358</v>
      </c>
      <c r="E116" s="8"/>
    </row>
    <row r="117" spans="1:5" x14ac:dyDescent="0.25">
      <c r="C117" s="138" t="s">
        <v>371</v>
      </c>
      <c r="D117" s="8"/>
      <c r="E117" s="137">
        <f>C111</f>
        <v>72756013.157999992</v>
      </c>
    </row>
    <row r="118" spans="1:5" ht="13" x14ac:dyDescent="0.25">
      <c r="D118" s="159">
        <f>SUM(D115:D117)</f>
        <v>72756013.157999992</v>
      </c>
      <c r="E118" s="159">
        <f>SUM(E115:E117)</f>
        <v>72756013.157999992</v>
      </c>
    </row>
    <row r="119" spans="1:5" ht="13" x14ac:dyDescent="0.25">
      <c r="A119" s="3" t="s">
        <v>408</v>
      </c>
    </row>
    <row r="121" spans="1:5" x14ac:dyDescent="0.25">
      <c r="B121" s="68" t="s">
        <v>369</v>
      </c>
      <c r="C121" s="158">
        <f>C107</f>
        <v>65545957.799999997</v>
      </c>
    </row>
    <row r="122" spans="1:5" x14ac:dyDescent="0.25">
      <c r="B122" s="68" t="s">
        <v>364</v>
      </c>
      <c r="C122" s="158">
        <f>C110</f>
        <v>7210055.358</v>
      </c>
    </row>
    <row r="125" spans="1:5" ht="13" x14ac:dyDescent="0.25">
      <c r="B125" s="77" t="s">
        <v>142</v>
      </c>
      <c r="C125" s="176">
        <f>D77</f>
        <v>2306810.8108108104</v>
      </c>
      <c r="D125" s="177" t="s">
        <v>414</v>
      </c>
    </row>
    <row r="126" spans="1:5" ht="13" x14ac:dyDescent="0.25">
      <c r="B126" s="77" t="s">
        <v>153</v>
      </c>
      <c r="C126" s="176">
        <f>E81</f>
        <v>58750000</v>
      </c>
      <c r="D126" s="177" t="s">
        <v>414</v>
      </c>
    </row>
    <row r="128" spans="1:5" ht="13" x14ac:dyDescent="0.25">
      <c r="B128" s="68" t="s">
        <v>375</v>
      </c>
      <c r="C128" s="174">
        <f>C121-C125-C126+C122</f>
        <v>11699202.347189184</v>
      </c>
    </row>
    <row r="129" spans="1:5" x14ac:dyDescent="0.25">
      <c r="B129" s="68" t="s">
        <v>376</v>
      </c>
      <c r="C129" s="95">
        <v>0</v>
      </c>
    </row>
    <row r="130" spans="1:5" x14ac:dyDescent="0.25">
      <c r="B130" s="4" t="s">
        <v>327</v>
      </c>
    </row>
    <row r="131" spans="1:5" ht="13" x14ac:dyDescent="0.25">
      <c r="C131" s="5" t="s">
        <v>328</v>
      </c>
      <c r="D131" s="5" t="s">
        <v>329</v>
      </c>
      <c r="E131" s="5" t="s">
        <v>370</v>
      </c>
    </row>
    <row r="132" spans="1:5" x14ac:dyDescent="0.25">
      <c r="C132" s="76" t="s">
        <v>371</v>
      </c>
      <c r="D132" s="137">
        <f>E117</f>
        <v>72756013.157999992</v>
      </c>
      <c r="E132" s="8"/>
    </row>
    <row r="133" spans="1:5" x14ac:dyDescent="0.25">
      <c r="C133" s="138" t="s">
        <v>377</v>
      </c>
      <c r="D133" s="137"/>
      <c r="E133" s="137">
        <f>C128</f>
        <v>11699202.347189184</v>
      </c>
    </row>
    <row r="134" spans="1:5" x14ac:dyDescent="0.25">
      <c r="C134" s="138" t="s">
        <v>379</v>
      </c>
      <c r="D134" s="8"/>
      <c r="E134" s="137">
        <f>C129</f>
        <v>0</v>
      </c>
    </row>
    <row r="135" spans="1:5" ht="25" x14ac:dyDescent="0.25">
      <c r="C135" s="175" t="s">
        <v>412</v>
      </c>
      <c r="D135" s="8"/>
      <c r="E135" s="137">
        <f>C125</f>
        <v>2306810.8108108104</v>
      </c>
    </row>
    <row r="136" spans="1:5" ht="25" x14ac:dyDescent="0.25">
      <c r="C136" s="175" t="s">
        <v>413</v>
      </c>
      <c r="D136" s="8"/>
      <c r="E136" s="137">
        <f>C126</f>
        <v>58750000</v>
      </c>
    </row>
    <row r="137" spans="1:5" x14ac:dyDescent="0.25">
      <c r="C137" s="162" t="s">
        <v>378</v>
      </c>
      <c r="D137" s="8">
        <f>C129</f>
        <v>0</v>
      </c>
      <c r="E137" s="137"/>
    </row>
    <row r="138" spans="1:5" ht="13" x14ac:dyDescent="0.25">
      <c r="D138" s="159">
        <f>SUM(D132:D137)</f>
        <v>72756013.157999992</v>
      </c>
      <c r="E138" s="159">
        <f>SUM(E132:E137)</f>
        <v>72756013.157999992</v>
      </c>
    </row>
    <row r="140" spans="1:5" ht="13" x14ac:dyDescent="0.25">
      <c r="A140" s="3" t="s">
        <v>409</v>
      </c>
    </row>
    <row r="142" spans="1:5" x14ac:dyDescent="0.25">
      <c r="B142" s="68" t="s">
        <v>382</v>
      </c>
      <c r="C142" s="157">
        <f>D98</f>
        <v>3870</v>
      </c>
    </row>
    <row r="143" spans="1:5" x14ac:dyDescent="0.25">
      <c r="B143" s="68" t="s">
        <v>383</v>
      </c>
      <c r="C143" s="157">
        <f>E98</f>
        <v>16936.939999999999</v>
      </c>
    </row>
    <row r="144" spans="1:5" ht="13" x14ac:dyDescent="0.25">
      <c r="B144" s="68" t="s">
        <v>381</v>
      </c>
      <c r="C144" s="163">
        <f>C142*C143</f>
        <v>65545957.799999997</v>
      </c>
    </row>
    <row r="146" spans="2:5" x14ac:dyDescent="0.25">
      <c r="B146" s="4" t="s">
        <v>327</v>
      </c>
    </row>
    <row r="147" spans="2:5" ht="13" x14ac:dyDescent="0.25">
      <c r="C147" s="5" t="s">
        <v>328</v>
      </c>
      <c r="D147" s="5" t="s">
        <v>329</v>
      </c>
      <c r="E147" s="5" t="s">
        <v>370</v>
      </c>
    </row>
    <row r="148" spans="2:5" x14ac:dyDescent="0.25">
      <c r="C148" s="76" t="s">
        <v>384</v>
      </c>
      <c r="D148" s="137">
        <f>C144</f>
        <v>65545957.799999997</v>
      </c>
      <c r="E148" s="8"/>
    </row>
    <row r="149" spans="2:5" x14ac:dyDescent="0.25">
      <c r="C149" s="138" t="s">
        <v>385</v>
      </c>
      <c r="D149" s="137"/>
      <c r="E149" s="137">
        <f>D148-D115</f>
        <v>0</v>
      </c>
    </row>
    <row r="150" spans="2:5" x14ac:dyDescent="0.25">
      <c r="C150" s="138" t="s">
        <v>345</v>
      </c>
      <c r="D150" s="8"/>
      <c r="E150" s="137">
        <f>D115</f>
        <v>65545957.799999997</v>
      </c>
    </row>
    <row r="151" spans="2:5" x14ac:dyDescent="0.25">
      <c r="C151" s="162"/>
      <c r="D151" s="8"/>
      <c r="E151" s="137"/>
    </row>
    <row r="152" spans="2:5" ht="13" x14ac:dyDescent="0.25">
      <c r="D152" s="159">
        <f>SUM(D148:D151)</f>
        <v>65545957.799999997</v>
      </c>
      <c r="E152" s="159">
        <f>SUM(E148:E151)</f>
        <v>65545957.799999997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7F95B-24F6-4743-9345-51A43F9DDF8E}">
  <dimension ref="A1:S11"/>
  <sheetViews>
    <sheetView zoomScale="85" zoomScaleNormal="85" workbookViewId="0">
      <selection activeCell="S23" sqref="S23"/>
    </sheetView>
  </sheetViews>
  <sheetFormatPr defaultRowHeight="12.5" x14ac:dyDescent="0.25"/>
  <cols>
    <col min="1" max="16384" width="8.7265625" style="2"/>
  </cols>
  <sheetData>
    <row r="1" spans="1:19" ht="13" x14ac:dyDescent="0.25">
      <c r="A1" s="3" t="s">
        <v>1</v>
      </c>
    </row>
    <row r="3" spans="1:19" ht="14.5" x14ac:dyDescent="0.25">
      <c r="A3" s="2">
        <v>1</v>
      </c>
      <c r="B3" s="1" t="s">
        <v>2</v>
      </c>
    </row>
    <row r="11" spans="1:19" x14ac:dyDescent="0.25">
      <c r="S11" s="4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5117E-E684-4871-ADA0-04EF7AC6347F}">
  <dimension ref="A1:AG106"/>
  <sheetViews>
    <sheetView topLeftCell="A66" zoomScale="85" zoomScaleNormal="85" workbookViewId="0">
      <selection activeCell="D86" sqref="D86"/>
    </sheetView>
  </sheetViews>
  <sheetFormatPr defaultColWidth="8.6328125" defaultRowHeight="14.5" x14ac:dyDescent="0.25"/>
  <cols>
    <col min="1" max="1" width="10" style="13" bestFit="1" customWidth="1"/>
    <col min="2" max="2" width="21" style="13" customWidth="1"/>
    <col min="3" max="3" width="40.36328125" style="13" bestFit="1" customWidth="1"/>
    <col min="4" max="4" width="19.81640625" style="13" bestFit="1" customWidth="1"/>
    <col min="5" max="5" width="17.6328125" style="13" customWidth="1"/>
    <col min="6" max="6" width="18.36328125" style="13" bestFit="1" customWidth="1"/>
    <col min="7" max="7" width="18.36328125" style="16" bestFit="1" customWidth="1"/>
    <col min="8" max="8" width="14.6328125" style="13" customWidth="1"/>
    <col min="9" max="9" width="17.36328125" style="16" customWidth="1"/>
    <col min="10" max="10" width="19.36328125" style="13" customWidth="1"/>
    <col min="11" max="11" width="22.36328125" style="13" customWidth="1"/>
    <col min="12" max="12" width="18.81640625" style="13" customWidth="1"/>
    <col min="13" max="13" width="14.81640625" style="13" customWidth="1"/>
    <col min="14" max="14" width="14.6328125" style="13" customWidth="1"/>
    <col min="15" max="15" width="14.1796875" style="13" customWidth="1"/>
    <col min="16" max="16" width="15.1796875" style="13" customWidth="1"/>
    <col min="17" max="17" width="14.453125" style="13" customWidth="1"/>
    <col min="18" max="18" width="11.1796875" style="13" bestFit="1" customWidth="1"/>
    <col min="19" max="16384" width="8.6328125" style="13"/>
  </cols>
  <sheetData>
    <row r="1" spans="1:13" x14ac:dyDescent="0.25">
      <c r="A1" s="12" t="s">
        <v>18</v>
      </c>
      <c r="C1" s="14"/>
      <c r="D1" s="14"/>
      <c r="E1" s="14"/>
      <c r="F1" s="14"/>
      <c r="G1" s="15"/>
      <c r="H1" s="14"/>
      <c r="I1" s="15"/>
      <c r="J1" s="14"/>
      <c r="K1" s="14"/>
      <c r="L1" s="14"/>
    </row>
    <row r="2" spans="1:13" x14ac:dyDescent="0.25">
      <c r="A2" s="14"/>
      <c r="B2" s="12"/>
      <c r="C2" s="14"/>
      <c r="D2" s="14"/>
      <c r="E2" s="14"/>
      <c r="F2" s="14"/>
      <c r="G2" s="15"/>
      <c r="H2" s="14"/>
      <c r="K2" s="17" t="s">
        <v>19</v>
      </c>
      <c r="L2" s="14"/>
    </row>
    <row r="3" spans="1:13" x14ac:dyDescent="0.25">
      <c r="B3" s="18" t="s">
        <v>20</v>
      </c>
      <c r="C3" s="19" t="s">
        <v>21</v>
      </c>
      <c r="D3" s="14"/>
      <c r="E3" s="14"/>
      <c r="F3" s="14"/>
      <c r="G3" s="15"/>
      <c r="H3" s="14"/>
      <c r="K3" s="17" t="s">
        <v>22</v>
      </c>
      <c r="L3" s="14"/>
    </row>
    <row r="4" spans="1:13" ht="15" customHeight="1" x14ac:dyDescent="0.25">
      <c r="A4" s="12"/>
      <c r="B4" s="14"/>
      <c r="C4" s="14"/>
      <c r="D4" s="14"/>
      <c r="E4" s="14"/>
      <c r="F4" s="14"/>
      <c r="G4" s="15"/>
      <c r="H4" s="14"/>
      <c r="K4" s="195" t="s">
        <v>23</v>
      </c>
      <c r="L4" s="195"/>
    </row>
    <row r="5" spans="1:13" ht="59" customHeight="1" x14ac:dyDescent="0.25">
      <c r="A5" s="12"/>
      <c r="B5" s="20" t="s">
        <v>24</v>
      </c>
      <c r="C5" s="20" t="s">
        <v>25</v>
      </c>
      <c r="D5" s="20" t="s">
        <v>26</v>
      </c>
      <c r="E5" s="20" t="s">
        <v>27</v>
      </c>
      <c r="F5" s="20" t="s">
        <v>28</v>
      </c>
      <c r="G5" s="21" t="s">
        <v>29</v>
      </c>
      <c r="H5" s="14"/>
      <c r="K5" s="195"/>
      <c r="L5" s="195"/>
    </row>
    <row r="6" spans="1:13" ht="15" customHeight="1" x14ac:dyDescent="0.25">
      <c r="A6" s="12"/>
      <c r="B6" s="22" t="s">
        <v>30</v>
      </c>
      <c r="C6" s="22" t="s">
        <v>31</v>
      </c>
      <c r="D6" s="23" t="s">
        <v>32</v>
      </c>
      <c r="E6" s="23" t="s">
        <v>33</v>
      </c>
      <c r="F6" s="24" t="s">
        <v>34</v>
      </c>
      <c r="G6" s="24" t="s">
        <v>34</v>
      </c>
      <c r="H6" s="14"/>
      <c r="K6" s="195" t="s">
        <v>35</v>
      </c>
      <c r="L6" s="195"/>
    </row>
    <row r="7" spans="1:13" x14ac:dyDescent="0.25">
      <c r="A7" s="12"/>
      <c r="C7" s="14"/>
      <c r="D7" s="14"/>
      <c r="E7" s="14"/>
      <c r="F7" s="14"/>
      <c r="G7" s="15"/>
      <c r="H7" s="14"/>
      <c r="K7" s="195"/>
      <c r="L7" s="195"/>
    </row>
    <row r="8" spans="1:13" ht="15" customHeight="1" x14ac:dyDescent="0.25">
      <c r="A8" s="12"/>
      <c r="B8" s="196" t="s">
        <v>36</v>
      </c>
      <c r="C8" s="196"/>
      <c r="D8" s="196"/>
      <c r="E8" s="196"/>
      <c r="F8" s="15"/>
      <c r="G8" s="15"/>
      <c r="H8" s="15"/>
      <c r="K8" s="195"/>
      <c r="L8" s="195"/>
    </row>
    <row r="9" spans="1:13" x14ac:dyDescent="0.25">
      <c r="A9" s="12"/>
      <c r="B9" s="20" t="s">
        <v>37</v>
      </c>
      <c r="C9" s="20" t="s">
        <v>38</v>
      </c>
      <c r="D9" s="20" t="s">
        <v>39</v>
      </c>
      <c r="E9" s="20" t="s">
        <v>40</v>
      </c>
      <c r="K9" s="195"/>
      <c r="L9" s="195"/>
    </row>
    <row r="10" spans="1:13" ht="25" x14ac:dyDescent="0.25">
      <c r="A10" s="12"/>
      <c r="B10" s="25" t="s">
        <v>41</v>
      </c>
      <c r="C10" s="26" t="s">
        <v>42</v>
      </c>
      <c r="D10" s="26" t="s">
        <v>42</v>
      </c>
      <c r="E10" s="26" t="s">
        <v>42</v>
      </c>
      <c r="K10" s="195"/>
      <c r="L10" s="195"/>
    </row>
    <row r="11" spans="1:13" ht="25" x14ac:dyDescent="0.25">
      <c r="A11" s="14"/>
      <c r="B11" s="25" t="s">
        <v>43</v>
      </c>
      <c r="C11" s="26" t="s">
        <v>42</v>
      </c>
      <c r="D11" s="26" t="s">
        <v>42</v>
      </c>
      <c r="E11" s="26" t="s">
        <v>42</v>
      </c>
      <c r="F11" s="14"/>
      <c r="G11" s="15"/>
      <c r="H11" s="14"/>
      <c r="K11" s="197"/>
      <c r="L11" s="197"/>
    </row>
    <row r="12" spans="1:13" x14ac:dyDescent="0.25">
      <c r="A12" s="14"/>
      <c r="B12" s="14"/>
      <c r="C12" s="14"/>
      <c r="D12" s="14"/>
      <c r="E12" s="14"/>
      <c r="F12" s="14"/>
      <c r="G12" s="15"/>
      <c r="H12" s="14"/>
      <c r="K12" s="198"/>
      <c r="L12" s="199"/>
    </row>
    <row r="13" spans="1:13" x14ac:dyDescent="0.25">
      <c r="A13" s="27">
        <v>1</v>
      </c>
      <c r="B13" s="12" t="s">
        <v>44</v>
      </c>
      <c r="C13" s="14"/>
      <c r="D13" s="14"/>
      <c r="E13" s="14"/>
      <c r="F13" s="14"/>
      <c r="G13" s="15"/>
      <c r="H13" s="14"/>
    </row>
    <row r="14" spans="1:13" x14ac:dyDescent="0.25">
      <c r="A14" s="27"/>
      <c r="B14" s="12"/>
      <c r="C14" s="194" t="s">
        <v>45</v>
      </c>
      <c r="D14" s="194"/>
      <c r="E14" s="194"/>
      <c r="F14" s="194" t="s">
        <v>46</v>
      </c>
      <c r="G14" s="194"/>
      <c r="H14" s="14"/>
    </row>
    <row r="15" spans="1:13" x14ac:dyDescent="0.25">
      <c r="A15" s="28"/>
      <c r="B15" s="20" t="s">
        <v>47</v>
      </c>
      <c r="C15" s="20" t="s">
        <v>45</v>
      </c>
      <c r="D15" s="20" t="s">
        <v>48</v>
      </c>
      <c r="E15" s="20" t="s">
        <v>49</v>
      </c>
      <c r="F15" s="21" t="s">
        <v>50</v>
      </c>
      <c r="G15" s="20" t="s">
        <v>51</v>
      </c>
      <c r="H15" s="21" t="s">
        <v>52</v>
      </c>
      <c r="I15" s="20" t="s">
        <v>53</v>
      </c>
      <c r="J15" s="16"/>
      <c r="L15" s="14"/>
      <c r="M15" s="14"/>
    </row>
    <row r="16" spans="1:13" ht="37.5" x14ac:dyDescent="0.25">
      <c r="A16" s="28"/>
      <c r="B16" s="29" t="s">
        <v>30</v>
      </c>
      <c r="C16" s="30" t="s">
        <v>54</v>
      </c>
      <c r="D16" s="30" t="s">
        <v>54</v>
      </c>
      <c r="E16" s="30" t="s">
        <v>54</v>
      </c>
      <c r="F16" s="30" t="s">
        <v>54</v>
      </c>
      <c r="G16" s="30" t="s">
        <v>54</v>
      </c>
      <c r="H16" s="31" t="s">
        <v>55</v>
      </c>
      <c r="I16" s="30" t="s">
        <v>56</v>
      </c>
      <c r="J16" s="16"/>
    </row>
    <row r="17" spans="1:12" x14ac:dyDescent="0.25">
      <c r="A17" s="28"/>
      <c r="B17" s="14"/>
      <c r="C17" s="14"/>
      <c r="D17" s="14"/>
      <c r="E17" s="14"/>
      <c r="F17" s="14"/>
      <c r="G17" s="15"/>
      <c r="H17" s="14"/>
      <c r="I17" s="15"/>
      <c r="L17" s="14"/>
    </row>
    <row r="18" spans="1:12" x14ac:dyDescent="0.25">
      <c r="A18" s="27">
        <v>2</v>
      </c>
      <c r="B18" s="12" t="s">
        <v>57</v>
      </c>
      <c r="C18" s="14"/>
      <c r="D18" s="14"/>
      <c r="E18" s="14"/>
      <c r="F18" s="27"/>
      <c r="G18" s="27"/>
      <c r="H18" s="27"/>
      <c r="I18" s="27"/>
      <c r="L18" s="14"/>
    </row>
    <row r="19" spans="1:12" x14ac:dyDescent="0.25">
      <c r="A19" s="28"/>
      <c r="B19" s="32" t="s">
        <v>58</v>
      </c>
      <c r="C19" s="33" t="s">
        <v>59</v>
      </c>
      <c r="D19" s="34" t="s">
        <v>60</v>
      </c>
      <c r="E19" s="14"/>
      <c r="F19" s="35"/>
      <c r="G19" s="35"/>
      <c r="H19" s="35"/>
      <c r="I19" s="35"/>
      <c r="J19" s="35"/>
      <c r="K19" s="35"/>
      <c r="L19" s="35"/>
    </row>
    <row r="20" spans="1:12" x14ac:dyDescent="0.25">
      <c r="B20" s="32" t="s">
        <v>61</v>
      </c>
      <c r="C20" s="33" t="s">
        <v>59</v>
      </c>
      <c r="D20" s="34" t="s">
        <v>60</v>
      </c>
      <c r="E20" s="14"/>
      <c r="F20" s="14"/>
      <c r="G20" s="35"/>
      <c r="H20" s="35"/>
      <c r="I20" s="35"/>
      <c r="J20" s="35"/>
      <c r="K20" s="35"/>
      <c r="L20" s="35"/>
    </row>
    <row r="21" spans="1:12" x14ac:dyDescent="0.25">
      <c r="B21" s="32" t="s">
        <v>62</v>
      </c>
      <c r="C21" s="33" t="s">
        <v>59</v>
      </c>
      <c r="D21" s="34" t="s">
        <v>60</v>
      </c>
      <c r="E21" s="14"/>
      <c r="F21" s="14"/>
      <c r="G21" s="35"/>
      <c r="H21" s="35"/>
      <c r="I21" s="35"/>
      <c r="J21" s="35"/>
      <c r="K21" s="35"/>
      <c r="L21" s="35"/>
    </row>
    <row r="22" spans="1:12" x14ac:dyDescent="0.25">
      <c r="B22" s="14"/>
      <c r="C22" s="14"/>
      <c r="D22" s="14"/>
      <c r="E22" s="14"/>
      <c r="F22" s="14"/>
      <c r="G22" s="35"/>
      <c r="H22" s="35"/>
      <c r="I22" s="35"/>
      <c r="J22" s="35"/>
      <c r="K22" s="35"/>
      <c r="L22" s="35"/>
    </row>
    <row r="23" spans="1:12" x14ac:dyDescent="0.25">
      <c r="B23" s="36" t="s">
        <v>63</v>
      </c>
      <c r="C23" s="14"/>
      <c r="D23" s="14"/>
      <c r="E23" s="14"/>
      <c r="F23" s="14"/>
      <c r="G23" s="35"/>
      <c r="H23" s="35"/>
      <c r="I23" s="35"/>
      <c r="J23" s="35"/>
      <c r="K23" s="35"/>
      <c r="L23" s="35"/>
    </row>
    <row r="24" spans="1:12" x14ac:dyDescent="0.25">
      <c r="B24" s="36" t="s">
        <v>64</v>
      </c>
      <c r="C24" s="37" t="s">
        <v>65</v>
      </c>
      <c r="D24" s="34" t="s">
        <v>60</v>
      </c>
      <c r="E24" s="14"/>
      <c r="F24" s="14"/>
      <c r="G24" s="35"/>
      <c r="H24" s="35"/>
      <c r="I24" s="35"/>
      <c r="J24" s="35"/>
      <c r="K24" s="35"/>
      <c r="L24" s="35"/>
    </row>
    <row r="25" spans="1:12" x14ac:dyDescent="0.25">
      <c r="C25" s="14"/>
      <c r="D25" s="14"/>
      <c r="E25" s="14"/>
      <c r="F25" s="14"/>
      <c r="G25" s="35"/>
      <c r="H25" s="35"/>
      <c r="I25" s="35"/>
      <c r="J25" s="35"/>
      <c r="K25" s="35"/>
      <c r="L25" s="35"/>
    </row>
    <row r="26" spans="1:12" x14ac:dyDescent="0.25">
      <c r="A26" s="14"/>
      <c r="B26" s="14"/>
      <c r="C26" s="38" t="s">
        <v>66</v>
      </c>
      <c r="D26" s="38" t="s">
        <v>67</v>
      </c>
      <c r="E26" s="14"/>
      <c r="F26" s="14"/>
      <c r="G26" s="15"/>
      <c r="H26" s="14"/>
      <c r="I26" s="15"/>
      <c r="J26" s="14"/>
      <c r="K26" s="14"/>
      <c r="L26" s="14"/>
    </row>
    <row r="27" spans="1:12" x14ac:dyDescent="0.25">
      <c r="A27" s="14"/>
      <c r="B27" s="14"/>
      <c r="C27" s="14"/>
      <c r="D27" s="14"/>
      <c r="E27" s="14"/>
      <c r="F27" s="14"/>
      <c r="G27" s="15"/>
      <c r="H27" s="14"/>
      <c r="I27" s="15"/>
      <c r="J27" s="14"/>
      <c r="K27" s="14"/>
      <c r="L27" s="14"/>
    </row>
    <row r="28" spans="1:12" x14ac:dyDescent="0.25">
      <c r="A28" s="14"/>
      <c r="B28" s="12" t="s">
        <v>68</v>
      </c>
      <c r="C28" s="20" t="s">
        <v>69</v>
      </c>
      <c r="D28" s="20" t="s">
        <v>70</v>
      </c>
      <c r="E28" s="20" t="s">
        <v>71</v>
      </c>
      <c r="F28" s="14"/>
      <c r="G28" s="15"/>
      <c r="H28" s="14"/>
      <c r="I28" s="15"/>
      <c r="J28" s="14"/>
      <c r="K28" s="14"/>
      <c r="L28" s="14"/>
    </row>
    <row r="29" spans="1:12" x14ac:dyDescent="0.25">
      <c r="A29" s="14"/>
      <c r="B29" s="14"/>
      <c r="C29" s="30" t="s">
        <v>72</v>
      </c>
      <c r="D29" s="30" t="s">
        <v>54</v>
      </c>
      <c r="E29" s="39" t="s">
        <v>73</v>
      </c>
      <c r="F29" s="40" t="s">
        <v>74</v>
      </c>
      <c r="G29" s="15"/>
      <c r="H29" s="14"/>
      <c r="I29" s="15"/>
      <c r="J29" s="14"/>
      <c r="K29" s="14"/>
      <c r="L29" s="14"/>
    </row>
    <row r="30" spans="1:12" x14ac:dyDescent="0.25">
      <c r="A30" s="14"/>
      <c r="B30" s="14"/>
      <c r="C30" s="14"/>
      <c r="D30" s="14"/>
      <c r="E30" s="14"/>
      <c r="F30" s="14"/>
      <c r="G30" s="15"/>
      <c r="H30" s="14"/>
      <c r="I30" s="15"/>
      <c r="J30" s="14"/>
      <c r="K30" s="14"/>
      <c r="L30" s="14"/>
    </row>
    <row r="31" spans="1:12" x14ac:dyDescent="0.25">
      <c r="A31" s="14"/>
      <c r="B31" s="12" t="s">
        <v>75</v>
      </c>
      <c r="C31" s="20" t="s">
        <v>69</v>
      </c>
      <c r="D31" s="20" t="s">
        <v>70</v>
      </c>
      <c r="E31" s="20" t="s">
        <v>71</v>
      </c>
      <c r="F31" s="14"/>
      <c r="G31" s="15"/>
      <c r="H31" s="14"/>
      <c r="I31" s="15"/>
      <c r="J31" s="14"/>
      <c r="K31" s="14"/>
      <c r="L31" s="14"/>
    </row>
    <row r="32" spans="1:12" x14ac:dyDescent="0.25">
      <c r="A32" s="14"/>
      <c r="B32" s="14"/>
      <c r="C32" s="30" t="s">
        <v>72</v>
      </c>
      <c r="D32" s="41" t="s">
        <v>76</v>
      </c>
      <c r="E32" s="30" t="s">
        <v>54</v>
      </c>
      <c r="F32" s="14"/>
      <c r="G32" s="15"/>
      <c r="H32" s="14"/>
      <c r="I32" s="15"/>
      <c r="J32" s="14"/>
      <c r="K32" s="14"/>
      <c r="L32" s="14"/>
    </row>
    <row r="33" spans="1:12" x14ac:dyDescent="0.25">
      <c r="A33" s="14"/>
      <c r="B33" s="14"/>
      <c r="C33" s="14"/>
      <c r="D33" s="14"/>
      <c r="E33" s="14"/>
      <c r="F33" s="14"/>
      <c r="G33" s="15"/>
      <c r="H33" s="14"/>
      <c r="I33" s="15"/>
      <c r="J33" s="14"/>
      <c r="K33" s="14"/>
      <c r="L33" s="14"/>
    </row>
    <row r="34" spans="1:12" x14ac:dyDescent="0.25">
      <c r="A34" s="14"/>
      <c r="H34" s="14"/>
      <c r="I34" s="15"/>
      <c r="J34" s="14"/>
      <c r="K34" s="14"/>
      <c r="L34" s="14"/>
    </row>
    <row r="35" spans="1:12" x14ac:dyDescent="0.25">
      <c r="A35" s="12">
        <v>3</v>
      </c>
      <c r="B35" s="12" t="s">
        <v>77</v>
      </c>
      <c r="C35" s="14"/>
      <c r="D35" s="14"/>
      <c r="E35" s="14"/>
      <c r="F35" s="14"/>
      <c r="G35" s="15"/>
      <c r="H35" s="14"/>
      <c r="I35" s="15"/>
      <c r="J35" s="14"/>
      <c r="K35" s="14"/>
      <c r="L35" s="14"/>
    </row>
    <row r="36" spans="1:12" x14ac:dyDescent="0.25">
      <c r="A36" s="12"/>
      <c r="B36" s="12" t="s">
        <v>78</v>
      </c>
      <c r="C36" s="14"/>
      <c r="D36" s="14"/>
      <c r="E36" s="14"/>
      <c r="F36" s="14"/>
      <c r="G36" s="15"/>
      <c r="H36" s="14"/>
      <c r="I36" s="15"/>
      <c r="J36" s="14"/>
      <c r="K36" s="14"/>
      <c r="L36" s="14"/>
    </row>
    <row r="37" spans="1:12" x14ac:dyDescent="0.25">
      <c r="A37" s="12"/>
      <c r="B37" s="42" t="s">
        <v>79</v>
      </c>
      <c r="C37" s="14"/>
      <c r="D37" s="14"/>
      <c r="E37" s="14"/>
      <c r="F37" s="14"/>
      <c r="G37" s="15"/>
      <c r="H37" s="14"/>
      <c r="I37" s="15"/>
      <c r="J37" s="14"/>
      <c r="K37" s="14"/>
      <c r="L37" s="14"/>
    </row>
    <row r="38" spans="1:12" x14ac:dyDescent="0.25">
      <c r="A38" s="14"/>
      <c r="B38" s="20" t="s">
        <v>4</v>
      </c>
      <c r="C38" s="20" t="s">
        <v>80</v>
      </c>
      <c r="D38" s="20" t="s">
        <v>81</v>
      </c>
      <c r="E38" s="20" t="s">
        <v>82</v>
      </c>
      <c r="F38" s="20" t="s">
        <v>71</v>
      </c>
      <c r="G38" s="20" t="s">
        <v>83</v>
      </c>
      <c r="H38" s="20" t="s">
        <v>84</v>
      </c>
      <c r="I38" s="15"/>
      <c r="J38" s="14"/>
      <c r="K38" s="14"/>
      <c r="L38" s="14"/>
    </row>
    <row r="39" spans="1:12" x14ac:dyDescent="0.25">
      <c r="A39" s="14"/>
      <c r="B39" s="27">
        <v>1</v>
      </c>
      <c r="C39" s="30" t="s">
        <v>85</v>
      </c>
      <c r="D39" s="30" t="s">
        <v>85</v>
      </c>
      <c r="E39" s="30" t="s">
        <v>85</v>
      </c>
      <c r="F39" s="43" t="s">
        <v>86</v>
      </c>
      <c r="G39" s="44" t="s">
        <v>87</v>
      </c>
      <c r="H39" s="30"/>
      <c r="I39" s="15"/>
      <c r="J39" s="14"/>
      <c r="K39" s="14"/>
      <c r="L39" s="14"/>
    </row>
    <row r="40" spans="1:12" x14ac:dyDescent="0.25">
      <c r="A40" s="14"/>
      <c r="B40" s="27">
        <v>2</v>
      </c>
      <c r="C40" s="30"/>
      <c r="D40" s="30"/>
      <c r="E40" s="30"/>
      <c r="F40" s="43"/>
      <c r="G40" s="30"/>
      <c r="H40" s="14"/>
      <c r="I40" s="15"/>
      <c r="J40" s="14"/>
      <c r="K40" s="14"/>
      <c r="L40" s="14"/>
    </row>
    <row r="41" spans="1:12" x14ac:dyDescent="0.25">
      <c r="A41" s="14"/>
      <c r="B41" s="14"/>
      <c r="C41" s="14"/>
      <c r="D41" s="14"/>
      <c r="E41" s="14"/>
      <c r="F41" s="14"/>
      <c r="G41" s="15"/>
      <c r="H41" s="14"/>
      <c r="I41" s="15"/>
      <c r="J41" s="14"/>
      <c r="K41" s="14"/>
      <c r="L41" s="14"/>
    </row>
    <row r="42" spans="1:12" x14ac:dyDescent="0.25">
      <c r="A42" s="12"/>
      <c r="B42" s="12" t="s">
        <v>88</v>
      </c>
      <c r="C42" s="14"/>
      <c r="D42" s="14"/>
      <c r="E42" s="14"/>
      <c r="F42" s="14"/>
      <c r="G42" s="15"/>
      <c r="H42" s="14"/>
      <c r="I42" s="15"/>
      <c r="J42" s="14"/>
      <c r="K42" s="14"/>
      <c r="L42" s="14"/>
    </row>
    <row r="43" spans="1:12" x14ac:dyDescent="0.25">
      <c r="A43" s="12"/>
      <c r="B43" s="42" t="s">
        <v>79</v>
      </c>
      <c r="C43" s="14"/>
      <c r="D43" s="14"/>
      <c r="E43" s="14"/>
      <c r="F43" s="14"/>
      <c r="G43" s="15"/>
      <c r="H43" s="14"/>
      <c r="I43" s="15"/>
      <c r="J43" s="14"/>
      <c r="K43" s="14"/>
      <c r="L43" s="14"/>
    </row>
    <row r="44" spans="1:12" x14ac:dyDescent="0.25">
      <c r="A44" s="14"/>
      <c r="B44" s="20" t="s">
        <v>4</v>
      </c>
      <c r="C44" s="20" t="s">
        <v>80</v>
      </c>
      <c r="D44" s="20" t="s">
        <v>81</v>
      </c>
      <c r="E44" s="20" t="s">
        <v>82</v>
      </c>
      <c r="F44" s="20" t="s">
        <v>71</v>
      </c>
      <c r="G44" s="20" t="s">
        <v>83</v>
      </c>
      <c r="H44" s="20" t="s">
        <v>84</v>
      </c>
      <c r="I44" s="45" t="s">
        <v>89</v>
      </c>
      <c r="J44" s="14"/>
      <c r="K44" s="14"/>
      <c r="L44" s="14"/>
    </row>
    <row r="45" spans="1:12" x14ac:dyDescent="0.25">
      <c r="A45" s="14"/>
      <c r="B45" s="27">
        <v>1</v>
      </c>
      <c r="C45" s="30"/>
      <c r="D45" s="30"/>
      <c r="E45" s="30"/>
      <c r="F45" s="43"/>
      <c r="G45" s="44"/>
      <c r="H45" s="30"/>
      <c r="I45" s="15"/>
      <c r="J45" s="14"/>
      <c r="K45" s="14"/>
      <c r="L45" s="14"/>
    </row>
    <row r="46" spans="1:12" x14ac:dyDescent="0.25">
      <c r="A46" s="14"/>
      <c r="B46" s="27">
        <v>2</v>
      </c>
      <c r="C46" s="30"/>
      <c r="D46" s="30"/>
      <c r="E46" s="30"/>
      <c r="F46" s="43"/>
      <c r="G46" s="44"/>
      <c r="H46" s="14"/>
      <c r="I46" s="15"/>
      <c r="J46" s="14"/>
      <c r="K46" s="14"/>
      <c r="L46" s="14"/>
    </row>
    <row r="47" spans="1:12" x14ac:dyDescent="0.25">
      <c r="A47" s="14"/>
      <c r="B47" s="14"/>
      <c r="C47" s="14"/>
      <c r="D47" s="14"/>
      <c r="E47" s="14"/>
      <c r="F47" s="14"/>
      <c r="G47" s="15"/>
      <c r="H47" s="14"/>
      <c r="I47" s="15"/>
      <c r="J47" s="14"/>
      <c r="K47" s="14"/>
      <c r="L47" s="14"/>
    </row>
    <row r="48" spans="1:12" x14ac:dyDescent="0.25">
      <c r="A48" s="12">
        <v>4</v>
      </c>
      <c r="B48" s="12" t="s">
        <v>90</v>
      </c>
      <c r="C48" s="14"/>
      <c r="D48" s="14"/>
      <c r="E48" s="14"/>
      <c r="F48" s="14"/>
      <c r="G48" s="15"/>
      <c r="H48" s="14"/>
      <c r="I48" s="15"/>
      <c r="J48" s="14"/>
      <c r="K48" s="14"/>
      <c r="L48" s="14"/>
    </row>
    <row r="49" spans="1:12" x14ac:dyDescent="0.25">
      <c r="A49" s="14"/>
      <c r="B49" s="12" t="s">
        <v>91</v>
      </c>
      <c r="C49" s="30" t="s">
        <v>85</v>
      </c>
      <c r="D49" s="14"/>
      <c r="E49" s="14"/>
      <c r="F49" s="14"/>
      <c r="G49" s="15"/>
      <c r="H49" s="14"/>
      <c r="I49" s="15"/>
      <c r="J49" s="14"/>
      <c r="K49" s="14"/>
      <c r="L49" s="14"/>
    </row>
    <row r="50" spans="1:12" x14ac:dyDescent="0.25">
      <c r="A50" s="14"/>
      <c r="B50" s="14"/>
      <c r="C50" s="14"/>
      <c r="D50" s="14"/>
      <c r="E50" s="14"/>
      <c r="F50" s="14"/>
      <c r="G50" s="15"/>
      <c r="H50" s="14"/>
      <c r="I50" s="15"/>
      <c r="J50" s="14"/>
      <c r="K50" s="14"/>
      <c r="L50" s="14"/>
    </row>
    <row r="51" spans="1:12" x14ac:dyDescent="0.25">
      <c r="A51" s="14"/>
      <c r="B51" s="14"/>
      <c r="C51" s="14"/>
      <c r="D51" s="14"/>
      <c r="E51" s="14"/>
      <c r="F51" s="14"/>
      <c r="G51" s="15"/>
      <c r="H51" s="14"/>
      <c r="I51" s="15"/>
      <c r="J51" s="14"/>
      <c r="K51" s="14"/>
      <c r="L51" s="14"/>
    </row>
    <row r="52" spans="1:12" x14ac:dyDescent="0.25">
      <c r="A52" s="12">
        <v>5</v>
      </c>
      <c r="B52" s="12" t="s">
        <v>92</v>
      </c>
      <c r="C52" s="14"/>
      <c r="D52" s="14"/>
      <c r="E52" s="14"/>
      <c r="F52" s="14"/>
      <c r="G52" s="15"/>
      <c r="H52" s="14"/>
      <c r="I52" s="15"/>
      <c r="J52" s="14"/>
      <c r="K52" s="14"/>
      <c r="L52" s="14"/>
    </row>
    <row r="53" spans="1:12" x14ac:dyDescent="0.25">
      <c r="A53" s="14"/>
      <c r="B53" s="12" t="s">
        <v>91</v>
      </c>
      <c r="C53" s="30" t="s">
        <v>85</v>
      </c>
      <c r="D53" s="46" t="s">
        <v>93</v>
      </c>
      <c r="E53" s="14"/>
      <c r="F53" s="14"/>
      <c r="G53" s="15"/>
      <c r="H53" s="14"/>
      <c r="I53" s="15"/>
      <c r="J53" s="14"/>
      <c r="K53" s="14"/>
      <c r="L53" s="14"/>
    </row>
    <row r="54" spans="1:12" x14ac:dyDescent="0.25">
      <c r="A54" s="14"/>
      <c r="B54" s="14"/>
      <c r="C54" s="14"/>
      <c r="D54" s="14"/>
      <c r="E54" s="14"/>
      <c r="F54" s="14"/>
      <c r="G54" s="15"/>
      <c r="H54" s="14"/>
      <c r="I54" s="15"/>
      <c r="J54" s="14"/>
      <c r="K54" s="14"/>
      <c r="L54" s="14"/>
    </row>
    <row r="55" spans="1:12" x14ac:dyDescent="0.25">
      <c r="A55" s="12">
        <v>6</v>
      </c>
      <c r="B55" s="12" t="s">
        <v>94</v>
      </c>
      <c r="C55" s="14"/>
      <c r="D55" s="14"/>
      <c r="E55" s="14"/>
      <c r="F55" s="14"/>
      <c r="G55" s="15"/>
      <c r="H55" s="14"/>
      <c r="I55" s="15"/>
      <c r="J55" s="14"/>
      <c r="K55" s="14"/>
      <c r="L55" s="14"/>
    </row>
    <row r="56" spans="1:12" x14ac:dyDescent="0.25">
      <c r="A56" s="14"/>
      <c r="B56" s="20" t="s">
        <v>95</v>
      </c>
      <c r="C56" s="14"/>
      <c r="D56" s="14"/>
      <c r="E56" s="14"/>
      <c r="F56" s="14"/>
      <c r="G56" s="15"/>
      <c r="H56" s="14"/>
      <c r="I56" s="15"/>
      <c r="J56" s="14"/>
      <c r="K56" s="14"/>
      <c r="L56" s="14"/>
    </row>
    <row r="57" spans="1:12" x14ac:dyDescent="0.25">
      <c r="A57" s="14"/>
      <c r="B57" s="30" t="s">
        <v>85</v>
      </c>
      <c r="C57" s="14"/>
      <c r="D57" s="14"/>
      <c r="E57" s="14"/>
      <c r="F57" s="14"/>
      <c r="G57" s="15"/>
      <c r="H57" s="14"/>
      <c r="I57" s="15"/>
      <c r="J57" s="14"/>
      <c r="K57" s="14"/>
      <c r="L57" s="14"/>
    </row>
    <row r="58" spans="1:12" x14ac:dyDescent="0.25">
      <c r="A58" s="14"/>
      <c r="B58" s="14"/>
      <c r="C58" s="14"/>
      <c r="D58" s="14"/>
      <c r="E58" s="14"/>
      <c r="F58" s="14"/>
      <c r="G58" s="15"/>
      <c r="H58" s="14"/>
      <c r="I58" s="15"/>
      <c r="J58" s="14"/>
      <c r="K58" s="14"/>
      <c r="L58" s="14"/>
    </row>
    <row r="59" spans="1:12" x14ac:dyDescent="0.25">
      <c r="A59" s="12">
        <v>7</v>
      </c>
      <c r="B59" s="12" t="s">
        <v>96</v>
      </c>
      <c r="C59" s="14"/>
      <c r="D59" s="14"/>
      <c r="E59" s="14"/>
      <c r="F59" s="14"/>
      <c r="G59" s="15"/>
      <c r="H59" s="14"/>
      <c r="I59" s="15"/>
      <c r="J59" s="14"/>
      <c r="K59" s="14"/>
      <c r="L59" s="14"/>
    </row>
    <row r="60" spans="1:12" x14ac:dyDescent="0.25">
      <c r="A60" s="14"/>
      <c r="B60" s="14"/>
      <c r="C60" s="20" t="s">
        <v>82</v>
      </c>
      <c r="D60" s="20" t="s">
        <v>84</v>
      </c>
      <c r="E60" s="14"/>
      <c r="F60" s="14"/>
      <c r="G60" s="15"/>
      <c r="H60" s="14"/>
      <c r="I60" s="15"/>
      <c r="J60" s="14"/>
      <c r="K60" s="14"/>
      <c r="L60" s="14"/>
    </row>
    <row r="61" spans="1:12" x14ac:dyDescent="0.25">
      <c r="A61" s="14"/>
      <c r="B61" s="12" t="s">
        <v>97</v>
      </c>
      <c r="C61" s="30"/>
      <c r="D61" s="30"/>
      <c r="E61" s="14"/>
      <c r="F61" s="14"/>
      <c r="G61" s="15"/>
      <c r="H61" s="14"/>
      <c r="I61" s="15"/>
      <c r="J61" s="14"/>
      <c r="K61" s="14"/>
      <c r="L61" s="14"/>
    </row>
    <row r="62" spans="1:12" x14ac:dyDescent="0.25">
      <c r="A62" s="14"/>
      <c r="B62" s="12" t="s">
        <v>12</v>
      </c>
      <c r="C62" s="30"/>
      <c r="D62" s="30"/>
      <c r="E62" s="14"/>
      <c r="F62" s="14"/>
      <c r="G62" s="15"/>
      <c r="H62" s="14"/>
      <c r="I62" s="15"/>
      <c r="J62" s="14"/>
      <c r="K62" s="14"/>
      <c r="L62" s="14"/>
    </row>
    <row r="63" spans="1:12" x14ac:dyDescent="0.25">
      <c r="A63" s="14"/>
      <c r="B63" s="14"/>
      <c r="C63" s="14"/>
      <c r="D63" s="14"/>
      <c r="E63" s="14"/>
      <c r="F63" s="14"/>
      <c r="G63" s="15"/>
      <c r="H63" s="14"/>
      <c r="I63" s="15"/>
      <c r="J63" s="14"/>
      <c r="K63" s="14"/>
      <c r="L63" s="14"/>
    </row>
    <row r="64" spans="1:12" x14ac:dyDescent="0.25">
      <c r="A64" s="12">
        <v>8</v>
      </c>
      <c r="B64" s="12" t="s">
        <v>98</v>
      </c>
      <c r="C64" s="14"/>
      <c r="D64" s="14"/>
      <c r="E64" s="14"/>
      <c r="F64" s="14"/>
      <c r="G64" s="15"/>
      <c r="H64" s="14"/>
      <c r="I64" s="15"/>
      <c r="J64" s="14"/>
      <c r="K64" s="14"/>
      <c r="L64" s="14"/>
    </row>
    <row r="65" spans="1:33" x14ac:dyDescent="0.25">
      <c r="A65" s="14"/>
      <c r="B65" s="14"/>
      <c r="C65" s="20" t="s">
        <v>70</v>
      </c>
      <c r="D65" s="20" t="s">
        <v>84</v>
      </c>
      <c r="E65" s="14"/>
      <c r="F65" s="14"/>
      <c r="G65" s="15"/>
      <c r="H65" s="14"/>
      <c r="I65" s="15"/>
      <c r="J65" s="14"/>
      <c r="K65" s="14"/>
      <c r="L65" s="14"/>
    </row>
    <row r="66" spans="1:33" x14ac:dyDescent="0.25">
      <c r="A66" s="14"/>
      <c r="B66" s="12" t="s">
        <v>97</v>
      </c>
      <c r="C66" s="30"/>
      <c r="D66" s="30"/>
      <c r="E66" s="14"/>
      <c r="F66" s="14"/>
      <c r="G66" s="15"/>
      <c r="H66" s="14"/>
      <c r="I66" s="15"/>
      <c r="J66" s="14"/>
      <c r="K66" s="14"/>
      <c r="L66" s="14"/>
    </row>
    <row r="67" spans="1:33" x14ac:dyDescent="0.25">
      <c r="A67" s="14"/>
      <c r="B67" s="12" t="s">
        <v>12</v>
      </c>
      <c r="C67" s="30"/>
      <c r="D67" s="30"/>
      <c r="E67" s="14"/>
      <c r="F67" s="14"/>
      <c r="G67" s="15"/>
      <c r="H67" s="14"/>
      <c r="I67" s="15"/>
      <c r="J67" s="14"/>
      <c r="K67" s="14"/>
      <c r="L67" s="14"/>
    </row>
    <row r="68" spans="1:33" x14ac:dyDescent="0.25">
      <c r="A68" s="14"/>
      <c r="B68" s="14"/>
      <c r="C68" s="14"/>
      <c r="D68" s="14"/>
      <c r="E68" s="14"/>
      <c r="F68" s="14"/>
      <c r="G68" s="15"/>
      <c r="H68" s="14"/>
      <c r="I68" s="15"/>
      <c r="J68" s="14"/>
      <c r="K68" s="14"/>
      <c r="L68" s="14"/>
    </row>
    <row r="69" spans="1:33" x14ac:dyDescent="0.25">
      <c r="A69" s="12">
        <v>9</v>
      </c>
      <c r="B69" s="12" t="s">
        <v>99</v>
      </c>
      <c r="C69" s="14"/>
      <c r="D69" s="14"/>
      <c r="E69" s="14"/>
      <c r="F69" s="14"/>
      <c r="G69" s="15"/>
      <c r="H69" s="14"/>
      <c r="I69" s="15"/>
      <c r="J69" s="14"/>
      <c r="K69" s="14"/>
      <c r="L69" s="14"/>
    </row>
    <row r="70" spans="1:33" x14ac:dyDescent="0.25">
      <c r="A70" s="14"/>
      <c r="B70" s="12" t="s">
        <v>91</v>
      </c>
      <c r="C70" s="47"/>
      <c r="D70" s="14"/>
      <c r="E70" s="14"/>
      <c r="F70" s="14"/>
      <c r="G70" s="15"/>
      <c r="H70" s="14"/>
      <c r="I70" s="15"/>
      <c r="J70" s="14"/>
      <c r="K70" s="14"/>
      <c r="L70" s="14"/>
    </row>
    <row r="71" spans="1:33" x14ac:dyDescent="0.25">
      <c r="A71" s="14"/>
      <c r="B71" s="14"/>
      <c r="C71" s="14"/>
      <c r="D71" s="14"/>
      <c r="E71" s="14"/>
      <c r="F71" s="14"/>
      <c r="G71" s="15"/>
      <c r="H71" s="14"/>
      <c r="I71" s="15"/>
      <c r="J71" s="14"/>
      <c r="K71" s="14"/>
      <c r="L71" s="14"/>
    </row>
    <row r="72" spans="1:33" x14ac:dyDescent="0.25">
      <c r="A72" s="12">
        <v>10</v>
      </c>
      <c r="B72" s="12" t="s">
        <v>100</v>
      </c>
      <c r="C72" s="14"/>
      <c r="D72" s="48"/>
      <c r="E72" s="14"/>
      <c r="F72" s="14"/>
      <c r="G72" s="15"/>
      <c r="H72" s="14"/>
      <c r="I72" s="15"/>
      <c r="J72" s="14"/>
      <c r="K72" s="14"/>
      <c r="L72" s="14"/>
    </row>
    <row r="73" spans="1:33" ht="28.5" x14ac:dyDescent="0.25">
      <c r="A73" s="14"/>
      <c r="B73" s="49" t="s">
        <v>101</v>
      </c>
      <c r="C73" s="49" t="s">
        <v>102</v>
      </c>
      <c r="D73" s="49" t="s">
        <v>103</v>
      </c>
      <c r="E73" s="49" t="s">
        <v>104</v>
      </c>
      <c r="F73" s="49" t="s">
        <v>99</v>
      </c>
      <c r="G73" s="50" t="s">
        <v>105</v>
      </c>
      <c r="H73" s="49" t="s">
        <v>106</v>
      </c>
      <c r="I73" s="50" t="s">
        <v>107</v>
      </c>
      <c r="J73" s="49" t="s">
        <v>108</v>
      </c>
      <c r="K73" s="49" t="s">
        <v>109</v>
      </c>
      <c r="L73" s="49" t="s">
        <v>110</v>
      </c>
      <c r="M73" s="49" t="s">
        <v>111</v>
      </c>
    </row>
    <row r="74" spans="1:33" ht="25" x14ac:dyDescent="0.25">
      <c r="A74" s="14"/>
      <c r="B74" s="51" t="s">
        <v>112</v>
      </c>
      <c r="C74" s="51" t="s">
        <v>113</v>
      </c>
      <c r="D74" s="51" t="s">
        <v>114</v>
      </c>
      <c r="E74" s="51" t="s">
        <v>115</v>
      </c>
      <c r="F74" s="51" t="s">
        <v>116</v>
      </c>
      <c r="G74" s="51" t="s">
        <v>117</v>
      </c>
      <c r="H74" s="51" t="s">
        <v>118</v>
      </c>
      <c r="I74" s="51" t="s">
        <v>119</v>
      </c>
      <c r="J74" s="52" t="s">
        <v>120</v>
      </c>
      <c r="K74" s="26" t="str">
        <f>D10</f>
        <v xml:space="preserve">Database </v>
      </c>
      <c r="L74" s="52" t="s">
        <v>121</v>
      </c>
      <c r="M74" s="53" t="s">
        <v>122</v>
      </c>
    </row>
    <row r="75" spans="1:33" x14ac:dyDescent="0.25">
      <c r="A75" s="14"/>
      <c r="B75" s="14"/>
      <c r="C75" s="14"/>
      <c r="D75" s="14"/>
      <c r="E75" s="14"/>
      <c r="F75" s="14"/>
      <c r="G75" s="15"/>
      <c r="H75" s="14"/>
      <c r="I75" s="15"/>
      <c r="J75" s="14"/>
      <c r="K75" s="14"/>
      <c r="L75" s="14"/>
    </row>
    <row r="76" spans="1:33" x14ac:dyDescent="0.25">
      <c r="G76" s="54" t="s">
        <v>123</v>
      </c>
      <c r="H76" s="55" t="s">
        <v>124</v>
      </c>
    </row>
    <row r="79" spans="1:33" s="56" customFormat="1" x14ac:dyDescent="0.25">
      <c r="A79" s="13"/>
      <c r="B79" s="13"/>
      <c r="C79" s="13"/>
      <c r="D79" s="13"/>
      <c r="E79" s="13"/>
      <c r="F79" s="13"/>
      <c r="G79" s="15"/>
      <c r="H79" s="14"/>
      <c r="I79" s="15"/>
      <c r="J79" s="14"/>
      <c r="K79" s="14"/>
      <c r="L79" s="14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 spans="1:33" s="56" customFormat="1" x14ac:dyDescent="0.25">
      <c r="A80" s="13"/>
      <c r="B80" s="13"/>
      <c r="C80" s="13"/>
      <c r="D80" s="13"/>
      <c r="E80" s="13"/>
      <c r="F80" s="61" t="s">
        <v>126</v>
      </c>
      <c r="G80" s="15"/>
      <c r="H80" s="14"/>
      <c r="I80" s="15"/>
      <c r="J80" s="14"/>
      <c r="K80" s="14"/>
      <c r="L80" s="14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 spans="1:33" s="56" customFormat="1" x14ac:dyDescent="0.25">
      <c r="A81" s="13"/>
      <c r="C81" s="13"/>
      <c r="D81" s="13"/>
      <c r="E81" s="13"/>
      <c r="F81" s="13"/>
      <c r="G81" s="15"/>
      <c r="H81" s="14"/>
      <c r="I81" s="15"/>
      <c r="J81" s="14"/>
      <c r="K81" s="14"/>
      <c r="L81" s="14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 spans="1:33" s="56" customFormat="1" x14ac:dyDescent="0.25">
      <c r="A82" s="13"/>
      <c r="B82" s="13"/>
      <c r="C82" s="13"/>
      <c r="D82" s="13"/>
      <c r="E82" s="13"/>
      <c r="F82" s="13"/>
      <c r="G82" s="15"/>
      <c r="H82" s="14"/>
      <c r="I82" s="15"/>
      <c r="J82" s="14"/>
      <c r="K82" s="14"/>
      <c r="L82" s="14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 spans="1:33" s="56" customFormat="1" x14ac:dyDescent="0.25">
      <c r="A83" s="13"/>
      <c r="B83" s="13"/>
      <c r="C83" s="13"/>
      <c r="D83" s="13"/>
      <c r="E83" s="13"/>
      <c r="F83" s="13"/>
      <c r="G83" s="15"/>
      <c r="H83" s="14"/>
      <c r="I83" s="15"/>
      <c r="J83" s="14"/>
      <c r="K83" s="14"/>
      <c r="L83" s="14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 spans="1:33" s="56" customFormat="1" x14ac:dyDescent="0.25">
      <c r="A84" s="13"/>
      <c r="B84" s="13"/>
      <c r="C84" s="13"/>
      <c r="D84" s="13"/>
      <c r="E84" s="13"/>
      <c r="F84" s="13"/>
      <c r="G84" s="15"/>
      <c r="H84" s="14"/>
      <c r="I84" s="15"/>
      <c r="J84" s="14"/>
      <c r="K84" s="14"/>
      <c r="L84" s="14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99" spans="1:28" x14ac:dyDescent="0.25">
      <c r="G99" s="15"/>
      <c r="H99" s="14"/>
      <c r="I99" s="15"/>
      <c r="J99" s="14"/>
      <c r="K99" s="14"/>
      <c r="L99" s="14"/>
    </row>
    <row r="100" spans="1:28" x14ac:dyDescent="0.25">
      <c r="G100" s="15"/>
      <c r="H100" s="14"/>
      <c r="I100" s="15"/>
      <c r="J100" s="14"/>
      <c r="K100" s="14"/>
      <c r="L100" s="14"/>
    </row>
    <row r="101" spans="1:28" x14ac:dyDescent="0.25">
      <c r="G101" s="15"/>
      <c r="H101" s="14"/>
      <c r="I101" s="15"/>
      <c r="J101" s="14"/>
      <c r="K101" s="14"/>
      <c r="L101" s="14"/>
    </row>
    <row r="102" spans="1:28" x14ac:dyDescent="0.25">
      <c r="G102" s="15"/>
      <c r="H102" s="14"/>
      <c r="I102" s="15"/>
      <c r="J102" s="14"/>
      <c r="K102" s="14"/>
      <c r="L102" s="14"/>
    </row>
    <row r="103" spans="1:28" x14ac:dyDescent="0.25">
      <c r="G103" s="15"/>
      <c r="H103" s="14"/>
      <c r="I103" s="15"/>
      <c r="J103" s="14"/>
      <c r="K103" s="14"/>
      <c r="L103" s="14"/>
    </row>
    <row r="104" spans="1:28" x14ac:dyDescent="0.25">
      <c r="G104" s="15"/>
      <c r="H104" s="14"/>
      <c r="I104" s="15"/>
      <c r="J104" s="14"/>
      <c r="K104" s="14"/>
      <c r="L104" s="14"/>
    </row>
    <row r="105" spans="1:28" x14ac:dyDescent="0.25">
      <c r="G105" s="15"/>
      <c r="H105" s="14"/>
      <c r="I105" s="15"/>
      <c r="J105" s="14"/>
      <c r="K105" s="14"/>
      <c r="L105" s="14"/>
    </row>
    <row r="106" spans="1:28" s="56" customFormat="1" ht="12.5" x14ac:dyDescent="0.25">
      <c r="A106" s="57"/>
      <c r="B106" s="57"/>
      <c r="C106" s="58"/>
      <c r="D106" s="57"/>
      <c r="E106" s="57"/>
      <c r="F106" s="58"/>
      <c r="G106" s="59"/>
      <c r="H106" s="57"/>
      <c r="I106" s="60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</row>
  </sheetData>
  <mergeCells count="7">
    <mergeCell ref="C14:E14"/>
    <mergeCell ref="F14:G14"/>
    <mergeCell ref="K4:L5"/>
    <mergeCell ref="K6:L10"/>
    <mergeCell ref="B8:E8"/>
    <mergeCell ref="K11:L11"/>
    <mergeCell ref="K12:L12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6353B-83D7-4535-99A7-FDE3388417E5}">
  <sheetPr>
    <tabColor rgb="FFFFFF00"/>
  </sheetPr>
  <dimension ref="A1:S87"/>
  <sheetViews>
    <sheetView tabSelected="1" zoomScale="85" zoomScaleNormal="85" workbookViewId="0">
      <selection activeCell="C12" sqref="C12"/>
    </sheetView>
  </sheetViews>
  <sheetFormatPr defaultRowHeight="12.5" x14ac:dyDescent="0.25"/>
  <cols>
    <col min="1" max="1" width="8.7265625" style="2"/>
    <col min="2" max="2" width="5.1796875" style="2" customWidth="1"/>
    <col min="3" max="4" width="16.6328125" style="2" customWidth="1"/>
    <col min="5" max="5" width="18.81640625" style="2" bestFit="1" customWidth="1"/>
    <col min="6" max="6" width="16.36328125" style="2" bestFit="1" customWidth="1"/>
    <col min="7" max="7" width="16.36328125" style="2" customWidth="1"/>
    <col min="8" max="9" width="22.1796875" style="6" customWidth="1"/>
    <col min="10" max="12" width="12.36328125" style="2" customWidth="1"/>
    <col min="13" max="16384" width="8.7265625" style="2"/>
  </cols>
  <sheetData>
    <row r="1" spans="1:19" ht="13" x14ac:dyDescent="0.25">
      <c r="A1" s="67" t="s">
        <v>154</v>
      </c>
    </row>
    <row r="2" spans="1:19" ht="13" x14ac:dyDescent="0.25">
      <c r="A2" s="67"/>
    </row>
    <row r="3" spans="1:19" ht="13" x14ac:dyDescent="0.25">
      <c r="A3" s="200" t="s">
        <v>136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</row>
    <row r="4" spans="1:19" ht="13" x14ac:dyDescent="0.25">
      <c r="A4" s="67"/>
    </row>
    <row r="5" spans="1:19" x14ac:dyDescent="0.25">
      <c r="M5" s="4" t="s">
        <v>14</v>
      </c>
    </row>
    <row r="6" spans="1:19" ht="13" x14ac:dyDescent="0.25">
      <c r="A6" s="3" t="s">
        <v>3</v>
      </c>
      <c r="M6" s="2">
        <v>1</v>
      </c>
      <c r="N6" s="4" t="s">
        <v>15</v>
      </c>
    </row>
    <row r="7" spans="1:19" ht="13" x14ac:dyDescent="0.25">
      <c r="A7" s="3"/>
      <c r="C7" s="9" t="s">
        <v>12</v>
      </c>
      <c r="D7" s="10" t="s">
        <v>13</v>
      </c>
      <c r="H7" s="62" t="s">
        <v>11</v>
      </c>
      <c r="I7" s="74" t="s">
        <v>140</v>
      </c>
      <c r="M7" s="2">
        <v>2</v>
      </c>
      <c r="N7" s="4" t="s">
        <v>138</v>
      </c>
    </row>
    <row r="8" spans="1:19" ht="13" x14ac:dyDescent="0.25">
      <c r="A8" s="3"/>
      <c r="M8" s="2">
        <v>3</v>
      </c>
      <c r="N8" s="4" t="s">
        <v>16</v>
      </c>
    </row>
    <row r="9" spans="1:19" x14ac:dyDescent="0.25">
      <c r="N9" s="4"/>
    </row>
    <row r="10" spans="1:19" ht="13" x14ac:dyDescent="0.25">
      <c r="B10" s="5" t="s">
        <v>4</v>
      </c>
      <c r="C10" s="5" t="s">
        <v>5</v>
      </c>
      <c r="D10" s="5" t="s">
        <v>128</v>
      </c>
      <c r="E10" s="5" t="s">
        <v>9</v>
      </c>
      <c r="F10" s="5" t="s">
        <v>6</v>
      </c>
      <c r="G10" s="7" t="s">
        <v>133</v>
      </c>
      <c r="H10" s="7" t="s">
        <v>7</v>
      </c>
      <c r="I10" s="7" t="s">
        <v>155</v>
      </c>
      <c r="J10" s="202" t="s">
        <v>8</v>
      </c>
      <c r="K10" s="202"/>
    </row>
    <row r="11" spans="1:19" ht="39" x14ac:dyDescent="0.25">
      <c r="B11" s="64">
        <v>1</v>
      </c>
      <c r="C11" s="66" t="s">
        <v>415</v>
      </c>
      <c r="D11" s="65" t="s">
        <v>129</v>
      </c>
      <c r="E11" s="64" t="s">
        <v>417</v>
      </c>
      <c r="F11" s="64" t="s">
        <v>10</v>
      </c>
      <c r="G11" s="71">
        <f>'Case HFG'!C11</f>
        <v>681</v>
      </c>
      <c r="H11" s="66" t="s">
        <v>77</v>
      </c>
      <c r="I11" s="75" t="s">
        <v>420</v>
      </c>
      <c r="J11" s="8"/>
      <c r="K11" s="11" t="s">
        <v>132</v>
      </c>
      <c r="M11" s="3" t="s">
        <v>17</v>
      </c>
    </row>
    <row r="12" spans="1:19" ht="39" x14ac:dyDescent="0.25">
      <c r="B12" s="64">
        <v>2</v>
      </c>
      <c r="C12" s="66" t="s">
        <v>415</v>
      </c>
      <c r="D12" s="65" t="s">
        <v>129</v>
      </c>
      <c r="E12" s="64" t="s">
        <v>418</v>
      </c>
      <c r="F12" s="64" t="s">
        <v>10</v>
      </c>
      <c r="G12" s="178">
        <f>'Case HFG'!C13</f>
        <v>3124.9993116809756</v>
      </c>
      <c r="H12" s="66" t="s">
        <v>419</v>
      </c>
      <c r="I12" s="75" t="s">
        <v>135</v>
      </c>
      <c r="J12" s="8"/>
      <c r="K12" s="11" t="s">
        <v>132</v>
      </c>
    </row>
    <row r="13" spans="1:19" x14ac:dyDescent="0.25">
      <c r="H13" s="2"/>
      <c r="I13" s="2"/>
    </row>
    <row r="14" spans="1:19" x14ac:dyDescent="0.25">
      <c r="H14" s="2"/>
      <c r="I14" s="2"/>
      <c r="S14" s="63" t="s">
        <v>125</v>
      </c>
    </row>
    <row r="15" spans="1:19" x14ac:dyDescent="0.25">
      <c r="H15" s="2"/>
      <c r="I15" s="2"/>
    </row>
    <row r="18" spans="1:9" ht="13" x14ac:dyDescent="0.25">
      <c r="A18" s="3" t="s">
        <v>416</v>
      </c>
    </row>
    <row r="20" spans="1:9" ht="13" x14ac:dyDescent="0.25">
      <c r="B20" s="5" t="s">
        <v>4</v>
      </c>
      <c r="C20" s="5" t="s">
        <v>5</v>
      </c>
      <c r="D20" s="5" t="s">
        <v>128</v>
      </c>
      <c r="E20" s="5" t="s">
        <v>9</v>
      </c>
      <c r="F20" s="5" t="s">
        <v>6</v>
      </c>
      <c r="G20" s="7" t="s">
        <v>133</v>
      </c>
      <c r="H20" s="7" t="s">
        <v>7</v>
      </c>
      <c r="I20" s="72"/>
    </row>
    <row r="21" spans="1:9" x14ac:dyDescent="0.25">
      <c r="B21" s="64"/>
      <c r="C21" s="64"/>
      <c r="D21" s="64"/>
      <c r="E21" s="64"/>
      <c r="F21" s="64"/>
      <c r="G21" s="64"/>
      <c r="H21" s="66"/>
      <c r="I21" s="73"/>
    </row>
    <row r="23" spans="1:9" ht="29" customHeight="1" x14ac:dyDescent="0.25">
      <c r="C23" s="203" t="s">
        <v>141</v>
      </c>
      <c r="D23" s="203"/>
      <c r="E23" s="203"/>
      <c r="F23" s="203"/>
    </row>
    <row r="24" spans="1:9" ht="33.5" customHeight="1" x14ac:dyDescent="0.25">
      <c r="C24" s="77" t="s">
        <v>142</v>
      </c>
      <c r="D24" s="77" t="s">
        <v>144</v>
      </c>
      <c r="F24" s="81" t="s">
        <v>143</v>
      </c>
      <c r="G24" s="79" t="s">
        <v>150</v>
      </c>
    </row>
    <row r="25" spans="1:9" ht="27.5" customHeight="1" x14ac:dyDescent="0.25">
      <c r="C25" s="3"/>
      <c r="D25" s="77" t="s">
        <v>145</v>
      </c>
      <c r="F25" s="11" t="s">
        <v>146</v>
      </c>
      <c r="G25" s="79" t="s">
        <v>151</v>
      </c>
    </row>
    <row r="26" spans="1:9" ht="27.5" customHeight="1" x14ac:dyDescent="0.25">
      <c r="D26" s="77" t="s">
        <v>147</v>
      </c>
      <c r="F26" s="11" t="s">
        <v>148</v>
      </c>
      <c r="G26" s="79" t="s">
        <v>149</v>
      </c>
    </row>
    <row r="27" spans="1:9" ht="27.5" customHeight="1" x14ac:dyDescent="0.25"/>
    <row r="28" spans="1:9" ht="27.5" customHeight="1" x14ac:dyDescent="0.25">
      <c r="C28" s="77" t="s">
        <v>153</v>
      </c>
    </row>
    <row r="29" spans="1:9" ht="27.5" customHeight="1" x14ac:dyDescent="0.25">
      <c r="D29" s="77" t="s">
        <v>152</v>
      </c>
      <c r="F29" s="11" t="s">
        <v>148</v>
      </c>
      <c r="G29" s="79" t="s">
        <v>232</v>
      </c>
    </row>
    <row r="30" spans="1:9" ht="27.5" customHeight="1" x14ac:dyDescent="0.25"/>
    <row r="31" spans="1:9" ht="13" x14ac:dyDescent="0.25">
      <c r="C31" s="70" t="s">
        <v>131</v>
      </c>
      <c r="D31" s="69" t="s">
        <v>130</v>
      </c>
      <c r="G31" s="63"/>
    </row>
    <row r="34" spans="1:14" ht="13" x14ac:dyDescent="0.25">
      <c r="A34" s="200" t="s">
        <v>421</v>
      </c>
      <c r="B34" s="201"/>
      <c r="C34" s="201"/>
      <c r="D34" s="201"/>
      <c r="E34" s="201"/>
      <c r="F34" s="201"/>
      <c r="G34" s="201"/>
      <c r="H34" s="201"/>
      <c r="I34" s="201"/>
      <c r="J34" s="201"/>
      <c r="K34" s="201"/>
    </row>
    <row r="35" spans="1:14" ht="13" x14ac:dyDescent="0.25">
      <c r="A35" s="67"/>
    </row>
    <row r="36" spans="1:14" x14ac:dyDescent="0.25">
      <c r="M36" s="4"/>
    </row>
    <row r="37" spans="1:14" ht="13" x14ac:dyDescent="0.25">
      <c r="A37" s="3" t="s">
        <v>3</v>
      </c>
      <c r="N37" s="4"/>
    </row>
    <row r="38" spans="1:14" ht="13" x14ac:dyDescent="0.25">
      <c r="A38" s="3"/>
      <c r="C38" s="9" t="s">
        <v>12</v>
      </c>
      <c r="D38" s="10" t="s">
        <v>13</v>
      </c>
      <c r="H38" s="62" t="s">
        <v>11</v>
      </c>
      <c r="I38" s="74" t="s">
        <v>140</v>
      </c>
      <c r="N38" s="4"/>
    </row>
    <row r="39" spans="1:14" ht="13" x14ac:dyDescent="0.25">
      <c r="A39" s="3"/>
      <c r="N39" s="4"/>
    </row>
    <row r="40" spans="1:14" x14ac:dyDescent="0.25">
      <c r="N40" s="4"/>
    </row>
    <row r="41" spans="1:14" ht="13" x14ac:dyDescent="0.25">
      <c r="B41" s="5" t="s">
        <v>4</v>
      </c>
      <c r="C41" s="5" t="s">
        <v>5</v>
      </c>
      <c r="D41" s="5" t="s">
        <v>128</v>
      </c>
      <c r="E41" s="5" t="s">
        <v>9</v>
      </c>
      <c r="F41" s="5" t="s">
        <v>6</v>
      </c>
      <c r="G41" s="7" t="s">
        <v>133</v>
      </c>
      <c r="H41" s="7" t="s">
        <v>7</v>
      </c>
      <c r="I41" s="7" t="s">
        <v>155</v>
      </c>
      <c r="J41" s="202" t="s">
        <v>8</v>
      </c>
      <c r="K41" s="202"/>
    </row>
    <row r="42" spans="1:14" ht="39" x14ac:dyDescent="0.25">
      <c r="B42" s="64">
        <v>1</v>
      </c>
      <c r="C42" s="66" t="s">
        <v>415</v>
      </c>
      <c r="D42" s="65" t="s">
        <v>129</v>
      </c>
      <c r="E42" s="64" t="s">
        <v>417</v>
      </c>
      <c r="F42" s="64" t="s">
        <v>10</v>
      </c>
      <c r="G42" s="71">
        <f>$G$11</f>
        <v>681</v>
      </c>
      <c r="H42" s="66" t="s">
        <v>77</v>
      </c>
      <c r="I42" s="75" t="s">
        <v>420</v>
      </c>
      <c r="J42" s="8"/>
      <c r="K42" s="11" t="s">
        <v>132</v>
      </c>
      <c r="M42" s="3"/>
    </row>
    <row r="43" spans="1:14" ht="39" x14ac:dyDescent="0.25">
      <c r="B43" s="64">
        <v>2</v>
      </c>
      <c r="C43" s="66" t="s">
        <v>415</v>
      </c>
      <c r="D43" s="65" t="s">
        <v>129</v>
      </c>
      <c r="E43" s="64" t="s">
        <v>418</v>
      </c>
      <c r="F43" s="64" t="s">
        <v>10</v>
      </c>
      <c r="G43" s="178">
        <f>$G$12</f>
        <v>3124.9993116809756</v>
      </c>
      <c r="H43" s="66" t="s">
        <v>419</v>
      </c>
      <c r="I43" s="75" t="s">
        <v>135</v>
      </c>
      <c r="J43" s="8"/>
      <c r="K43" s="11" t="s">
        <v>132</v>
      </c>
    </row>
    <row r="44" spans="1:14" x14ac:dyDescent="0.25">
      <c r="H44" s="2"/>
      <c r="I44" s="2"/>
    </row>
    <row r="46" spans="1:14" ht="13" x14ac:dyDescent="0.25">
      <c r="A46" s="3" t="s">
        <v>127</v>
      </c>
    </row>
    <row r="48" spans="1:14" ht="13" x14ac:dyDescent="0.25">
      <c r="B48" s="5" t="s">
        <v>4</v>
      </c>
      <c r="C48" s="5" t="s">
        <v>5</v>
      </c>
      <c r="D48" s="5" t="s">
        <v>128</v>
      </c>
      <c r="E48" s="5" t="s">
        <v>9</v>
      </c>
      <c r="F48" s="5" t="s">
        <v>6</v>
      </c>
      <c r="G48" s="7" t="s">
        <v>133</v>
      </c>
      <c r="H48" s="7" t="s">
        <v>7</v>
      </c>
      <c r="I48" s="72"/>
    </row>
    <row r="49" spans="1:14" ht="25" x14ac:dyDescent="0.25">
      <c r="B49" s="64">
        <v>1</v>
      </c>
      <c r="C49" s="66" t="s">
        <v>415</v>
      </c>
      <c r="D49" s="179" t="s">
        <v>129</v>
      </c>
      <c r="E49" s="66" t="s">
        <v>417</v>
      </c>
      <c r="F49" s="66" t="s">
        <v>10</v>
      </c>
      <c r="G49" s="180">
        <v>681</v>
      </c>
      <c r="H49" s="66" t="s">
        <v>77</v>
      </c>
      <c r="I49" s="73"/>
    </row>
    <row r="51" spans="1:14" ht="29" customHeight="1" x14ac:dyDescent="0.25">
      <c r="C51" s="203" t="s">
        <v>141</v>
      </c>
      <c r="D51" s="203"/>
      <c r="E51" s="203"/>
      <c r="F51" s="203"/>
    </row>
    <row r="52" spans="1:14" ht="33.5" customHeight="1" x14ac:dyDescent="0.25">
      <c r="C52" s="77" t="s">
        <v>142</v>
      </c>
      <c r="D52" s="77" t="s">
        <v>144</v>
      </c>
      <c r="F52" s="181">
        <f>'Simulasi Claim Kombinasi jalur'!D77</f>
        <v>2306810.8108108104</v>
      </c>
      <c r="G52" s="79"/>
    </row>
    <row r="53" spans="1:14" ht="27.5" customHeight="1" x14ac:dyDescent="0.25">
      <c r="C53" s="3"/>
      <c r="D53" s="77" t="s">
        <v>145</v>
      </c>
      <c r="F53" s="11"/>
      <c r="G53" s="79"/>
    </row>
    <row r="54" spans="1:14" ht="27.5" customHeight="1" x14ac:dyDescent="0.25">
      <c r="D54" s="77" t="s">
        <v>147</v>
      </c>
      <c r="F54" s="11"/>
      <c r="G54" s="79"/>
    </row>
    <row r="55" spans="1:14" ht="27.5" customHeight="1" x14ac:dyDescent="0.25"/>
    <row r="56" spans="1:14" ht="27.5" customHeight="1" x14ac:dyDescent="0.25">
      <c r="C56" s="77" t="s">
        <v>153</v>
      </c>
    </row>
    <row r="57" spans="1:14" ht="27.5" customHeight="1" x14ac:dyDescent="0.25">
      <c r="D57" s="77" t="s">
        <v>152</v>
      </c>
      <c r="F57" s="11"/>
      <c r="G57" s="79"/>
    </row>
    <row r="58" spans="1:14" ht="27.5" customHeight="1" x14ac:dyDescent="0.25"/>
    <row r="59" spans="1:14" ht="13" x14ac:dyDescent="0.25">
      <c r="C59" s="70" t="s">
        <v>131</v>
      </c>
      <c r="D59" s="69" t="s">
        <v>130</v>
      </c>
      <c r="G59" s="63"/>
    </row>
    <row r="61" spans="1:14" ht="13" x14ac:dyDescent="0.25">
      <c r="A61" s="200" t="s">
        <v>422</v>
      </c>
      <c r="B61" s="201"/>
      <c r="C61" s="201"/>
      <c r="D61" s="201"/>
      <c r="E61" s="201"/>
      <c r="F61" s="201"/>
      <c r="G61" s="201"/>
      <c r="H61" s="201"/>
      <c r="I61" s="201"/>
      <c r="J61" s="201"/>
      <c r="K61" s="201"/>
    </row>
    <row r="62" spans="1:14" ht="13" x14ac:dyDescent="0.25">
      <c r="A62" s="67"/>
    </row>
    <row r="63" spans="1:14" x14ac:dyDescent="0.25">
      <c r="M63" s="4"/>
    </row>
    <row r="64" spans="1:14" ht="13" x14ac:dyDescent="0.25">
      <c r="A64" s="3" t="s">
        <v>3</v>
      </c>
      <c r="N64" s="4"/>
    </row>
    <row r="65" spans="1:14" ht="13" x14ac:dyDescent="0.25">
      <c r="A65" s="3"/>
      <c r="C65" s="9" t="s">
        <v>12</v>
      </c>
      <c r="D65" s="10" t="s">
        <v>13</v>
      </c>
      <c r="H65" s="62" t="s">
        <v>11</v>
      </c>
      <c r="I65" s="74" t="s">
        <v>140</v>
      </c>
      <c r="N65" s="4"/>
    </row>
    <row r="66" spans="1:14" ht="13" x14ac:dyDescent="0.25">
      <c r="A66" s="3"/>
      <c r="N66" s="4"/>
    </row>
    <row r="67" spans="1:14" x14ac:dyDescent="0.25">
      <c r="N67" s="4"/>
    </row>
    <row r="68" spans="1:14" ht="13" x14ac:dyDescent="0.25">
      <c r="B68" s="5" t="s">
        <v>4</v>
      </c>
      <c r="C68" s="5" t="s">
        <v>5</v>
      </c>
      <c r="D68" s="5" t="s">
        <v>128</v>
      </c>
      <c r="E68" s="5" t="s">
        <v>9</v>
      </c>
      <c r="F68" s="5" t="s">
        <v>6</v>
      </c>
      <c r="G68" s="7" t="s">
        <v>133</v>
      </c>
      <c r="H68" s="7" t="s">
        <v>7</v>
      </c>
      <c r="I68" s="7" t="s">
        <v>155</v>
      </c>
      <c r="J68" s="202" t="s">
        <v>8</v>
      </c>
      <c r="K68" s="202"/>
    </row>
    <row r="69" spans="1:14" ht="39" x14ac:dyDescent="0.25">
      <c r="B69" s="64">
        <v>1</v>
      </c>
      <c r="C69" s="66" t="s">
        <v>415</v>
      </c>
      <c r="D69" s="65" t="s">
        <v>129</v>
      </c>
      <c r="E69" s="64" t="s">
        <v>417</v>
      </c>
      <c r="F69" s="64" t="s">
        <v>10</v>
      </c>
      <c r="G69" s="71">
        <f>$G$11</f>
        <v>681</v>
      </c>
      <c r="H69" s="66" t="s">
        <v>77</v>
      </c>
      <c r="I69" s="75" t="s">
        <v>420</v>
      </c>
      <c r="J69" s="8"/>
      <c r="K69" s="11" t="s">
        <v>132</v>
      </c>
      <c r="M69" s="3"/>
    </row>
    <row r="70" spans="1:14" ht="39" x14ac:dyDescent="0.25">
      <c r="B70" s="64">
        <v>2</v>
      </c>
      <c r="C70" s="66" t="s">
        <v>415</v>
      </c>
      <c r="D70" s="65" t="s">
        <v>129</v>
      </c>
      <c r="E70" s="64" t="s">
        <v>418</v>
      </c>
      <c r="F70" s="64" t="s">
        <v>10</v>
      </c>
      <c r="G70" s="178">
        <f>$G$12</f>
        <v>3124.9993116809756</v>
      </c>
      <c r="H70" s="66" t="s">
        <v>419</v>
      </c>
      <c r="I70" s="75" t="s">
        <v>135</v>
      </c>
      <c r="J70" s="8"/>
      <c r="K70" s="11" t="s">
        <v>132</v>
      </c>
    </row>
    <row r="71" spans="1:14" x14ac:dyDescent="0.25">
      <c r="H71" s="2"/>
      <c r="I71" s="2"/>
    </row>
    <row r="73" spans="1:14" ht="13" x14ac:dyDescent="0.25">
      <c r="A73" s="3" t="s">
        <v>127</v>
      </c>
    </row>
    <row r="75" spans="1:14" ht="13" x14ac:dyDescent="0.25">
      <c r="B75" s="5" t="s">
        <v>4</v>
      </c>
      <c r="C75" s="5" t="s">
        <v>5</v>
      </c>
      <c r="D75" s="5" t="s">
        <v>128</v>
      </c>
      <c r="E75" s="5" t="s">
        <v>9</v>
      </c>
      <c r="F75" s="5" t="s">
        <v>6</v>
      </c>
      <c r="G75" s="7" t="s">
        <v>133</v>
      </c>
      <c r="H75" s="7" t="s">
        <v>7</v>
      </c>
      <c r="I75" s="72"/>
    </row>
    <row r="76" spans="1:14" x14ac:dyDescent="0.25">
      <c r="B76" s="64">
        <v>1</v>
      </c>
      <c r="C76" s="64" t="str">
        <f>C70</f>
        <v>PT Baja Semesta Mandiri</v>
      </c>
      <c r="D76" s="64" t="str">
        <f t="shared" ref="D76:G76" si="0">D70</f>
        <v>Galvalum 025</v>
      </c>
      <c r="E76" s="64" t="str">
        <f t="shared" si="0"/>
        <v>BSM-C002</v>
      </c>
      <c r="F76" s="64" t="str">
        <f t="shared" si="0"/>
        <v>PO-001</v>
      </c>
      <c r="G76" s="183">
        <f t="shared" si="0"/>
        <v>3124.9993116809756</v>
      </c>
      <c r="H76" s="66" t="str">
        <f>H70</f>
        <v>Karat</v>
      </c>
      <c r="I76" s="73"/>
    </row>
    <row r="77" spans="1:14" x14ac:dyDescent="0.25">
      <c r="H77" s="2"/>
      <c r="I77" s="73"/>
    </row>
    <row r="79" spans="1:14" ht="29" customHeight="1" x14ac:dyDescent="0.25">
      <c r="C79" s="203" t="s">
        <v>141</v>
      </c>
      <c r="D79" s="203"/>
      <c r="E79" s="203"/>
      <c r="F79" s="203"/>
    </row>
    <row r="80" spans="1:14" ht="33.5" customHeight="1" x14ac:dyDescent="0.25">
      <c r="C80" s="77" t="s">
        <v>142</v>
      </c>
      <c r="D80" s="77" t="s">
        <v>144</v>
      </c>
      <c r="F80" s="82"/>
      <c r="G80" s="6"/>
    </row>
    <row r="81" spans="3:7" ht="42" customHeight="1" x14ac:dyDescent="0.25">
      <c r="C81" s="3"/>
      <c r="D81" s="77" t="s">
        <v>145</v>
      </c>
      <c r="F81" s="11"/>
      <c r="G81" s="6"/>
    </row>
    <row r="82" spans="3:7" ht="27.5" customHeight="1" x14ac:dyDescent="0.25">
      <c r="D82" s="77" t="s">
        <v>147</v>
      </c>
      <c r="F82" s="11"/>
      <c r="G82" s="79"/>
    </row>
    <row r="83" spans="3:7" ht="27.5" customHeight="1" x14ac:dyDescent="0.25"/>
    <row r="84" spans="3:7" ht="27.5" customHeight="1" x14ac:dyDescent="0.25">
      <c r="C84" s="77" t="s">
        <v>153</v>
      </c>
    </row>
    <row r="85" spans="3:7" ht="27.5" customHeight="1" x14ac:dyDescent="0.25">
      <c r="D85" s="77" t="s">
        <v>152</v>
      </c>
      <c r="F85" s="11"/>
      <c r="G85" s="79"/>
    </row>
    <row r="86" spans="3:7" ht="27.5" customHeight="1" x14ac:dyDescent="0.25"/>
    <row r="87" spans="3:7" ht="13" x14ac:dyDescent="0.25">
      <c r="C87" s="70" t="s">
        <v>131</v>
      </c>
      <c r="D87" s="69" t="s">
        <v>130</v>
      </c>
      <c r="G87" s="63"/>
    </row>
  </sheetData>
  <mergeCells count="9">
    <mergeCell ref="J68:K68"/>
    <mergeCell ref="C79:F79"/>
    <mergeCell ref="C51:F51"/>
    <mergeCell ref="J10:K10"/>
    <mergeCell ref="A3:K3"/>
    <mergeCell ref="A34:K34"/>
    <mergeCell ref="J41:K41"/>
    <mergeCell ref="C23:F23"/>
    <mergeCell ref="A61:K61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9FB2-2642-4C70-842F-453167BBF026}">
  <sheetPr>
    <tabColor rgb="FFFFFF00"/>
  </sheetPr>
  <dimension ref="A1:K58"/>
  <sheetViews>
    <sheetView workbookViewId="0">
      <selection activeCell="A11" sqref="A11:A12"/>
    </sheetView>
  </sheetViews>
  <sheetFormatPr defaultRowHeight="12.5" x14ac:dyDescent="0.25"/>
  <cols>
    <col min="1" max="1" width="13.26953125" style="2" customWidth="1"/>
    <col min="2" max="2" width="13.36328125" style="2" bestFit="1" customWidth="1"/>
    <col min="3" max="3" width="22.6328125" style="2" customWidth="1"/>
    <col min="4" max="4" width="15.81640625" style="2" bestFit="1" customWidth="1"/>
    <col min="5" max="5" width="16.6328125" style="2" customWidth="1"/>
    <col min="6" max="6" width="23.453125" style="2" customWidth="1"/>
    <col min="7" max="7" width="22.08984375" style="2" customWidth="1"/>
    <col min="8" max="8" width="11.6328125" style="2" customWidth="1"/>
    <col min="9" max="9" width="12.54296875" style="2" bestFit="1" customWidth="1"/>
    <col min="10" max="10" width="15.26953125" style="2" customWidth="1"/>
    <col min="11" max="11" width="14.81640625" style="2" bestFit="1" customWidth="1"/>
    <col min="12" max="16384" width="8.7265625" style="2"/>
  </cols>
  <sheetData>
    <row r="1" spans="1:11" ht="13" x14ac:dyDescent="0.25">
      <c r="A1" s="3" t="s">
        <v>308</v>
      </c>
    </row>
    <row r="2" spans="1:11" ht="13" x14ac:dyDescent="0.25">
      <c r="A2" s="3"/>
    </row>
    <row r="3" spans="1:11" ht="13" x14ac:dyDescent="0.25">
      <c r="A3" s="204" t="s">
        <v>429</v>
      </c>
      <c r="B3" s="204"/>
      <c r="C3" s="204"/>
      <c r="D3" s="204"/>
      <c r="E3" s="204"/>
      <c r="F3" s="204"/>
      <c r="G3" s="204"/>
      <c r="H3" s="204"/>
      <c r="I3" s="204"/>
      <c r="J3" s="204"/>
    </row>
    <row r="4" spans="1:11" ht="13" x14ac:dyDescent="0.25">
      <c r="A4" s="3" t="s">
        <v>174</v>
      </c>
    </row>
    <row r="5" spans="1:11" ht="13" x14ac:dyDescent="0.25">
      <c r="A5" s="3"/>
    </row>
    <row r="6" spans="1:11" ht="13" x14ac:dyDescent="0.25">
      <c r="A6" s="5" t="s">
        <v>156</v>
      </c>
      <c r="B6" s="5" t="s">
        <v>157</v>
      </c>
      <c r="C6" s="5" t="s">
        <v>5</v>
      </c>
      <c r="D6" s="5" t="s">
        <v>158</v>
      </c>
      <c r="E6" s="5" t="s">
        <v>159</v>
      </c>
      <c r="F6" s="5" t="s">
        <v>253</v>
      </c>
      <c r="G6" s="5" t="s">
        <v>160</v>
      </c>
      <c r="H6" s="202" t="s">
        <v>8</v>
      </c>
      <c r="I6" s="202"/>
      <c r="J6" s="202"/>
      <c r="K6" s="202"/>
    </row>
    <row r="7" spans="1:11" ht="13" x14ac:dyDescent="0.25">
      <c r="A7" s="8" t="s">
        <v>161</v>
      </c>
      <c r="B7" s="83">
        <v>46276</v>
      </c>
      <c r="C7" s="76" t="s">
        <v>236</v>
      </c>
      <c r="D7" s="8" t="s">
        <v>163</v>
      </c>
      <c r="E7" s="78">
        <v>14277.4</v>
      </c>
      <c r="F7" s="186" t="s">
        <v>139</v>
      </c>
      <c r="G7" s="84" t="s">
        <v>175</v>
      </c>
      <c r="H7" s="89" t="s">
        <v>170</v>
      </c>
      <c r="I7" s="90" t="s">
        <v>169</v>
      </c>
      <c r="J7" s="91" t="s">
        <v>171</v>
      </c>
      <c r="K7" s="92" t="s">
        <v>172</v>
      </c>
    </row>
    <row r="8" spans="1:11" ht="13" x14ac:dyDescent="0.25">
      <c r="A8" s="8" t="s">
        <v>164</v>
      </c>
      <c r="B8" s="83">
        <v>46276</v>
      </c>
      <c r="C8" s="8" t="s">
        <v>165</v>
      </c>
      <c r="D8" s="8" t="s">
        <v>163</v>
      </c>
      <c r="E8" s="78">
        <v>2637.4</v>
      </c>
      <c r="F8" s="186" t="s">
        <v>139</v>
      </c>
      <c r="G8" s="86" t="s">
        <v>173</v>
      </c>
      <c r="H8" s="89" t="s">
        <v>170</v>
      </c>
      <c r="I8" s="90" t="s">
        <v>169</v>
      </c>
      <c r="J8" s="91" t="s">
        <v>171</v>
      </c>
      <c r="K8" s="92" t="s">
        <v>172</v>
      </c>
    </row>
    <row r="9" spans="1:11" ht="13" x14ac:dyDescent="0.25">
      <c r="A9" s="8" t="s">
        <v>166</v>
      </c>
      <c r="B9" s="83">
        <v>46277</v>
      </c>
      <c r="C9" s="8" t="s">
        <v>167</v>
      </c>
      <c r="D9" s="8" t="s">
        <v>168</v>
      </c>
      <c r="E9" s="78">
        <v>25500000</v>
      </c>
      <c r="F9" s="186" t="s">
        <v>139</v>
      </c>
      <c r="G9" s="87" t="s">
        <v>176</v>
      </c>
      <c r="H9" s="89" t="s">
        <v>170</v>
      </c>
      <c r="I9" s="90" t="s">
        <v>169</v>
      </c>
      <c r="J9" s="91" t="s">
        <v>171</v>
      </c>
      <c r="K9" s="92" t="s">
        <v>172</v>
      </c>
    </row>
    <row r="10" spans="1:11" ht="13" x14ac:dyDescent="0.25">
      <c r="A10" s="76" t="s">
        <v>177</v>
      </c>
      <c r="B10" s="83">
        <v>46277</v>
      </c>
      <c r="C10" s="8" t="s">
        <v>306</v>
      </c>
      <c r="D10" s="8" t="s">
        <v>168</v>
      </c>
      <c r="E10" s="78">
        <v>20000000</v>
      </c>
      <c r="F10" s="186" t="s">
        <v>233</v>
      </c>
      <c r="G10" s="123" t="s">
        <v>307</v>
      </c>
      <c r="H10" s="89" t="s">
        <v>170</v>
      </c>
      <c r="I10" s="90" t="s">
        <v>169</v>
      </c>
      <c r="J10" s="91" t="s">
        <v>171</v>
      </c>
      <c r="K10" s="92" t="s">
        <v>172</v>
      </c>
    </row>
    <row r="11" spans="1:11" ht="13" x14ac:dyDescent="0.25">
      <c r="A11" s="76" t="s">
        <v>305</v>
      </c>
      <c r="B11" s="83">
        <v>46277</v>
      </c>
      <c r="C11" s="76" t="str">
        <f>'Konsep&amp;Sim Modul Claim'!C49</f>
        <v>PT Baja Semesta Mandiri</v>
      </c>
      <c r="D11" s="8" t="s">
        <v>168</v>
      </c>
      <c r="E11" s="78">
        <f>'Konsep&amp;Sim Modul Claim'!F52</f>
        <v>2306810.8108108104</v>
      </c>
      <c r="F11" s="186" t="s">
        <v>139</v>
      </c>
      <c r="G11" s="88" t="s">
        <v>179</v>
      </c>
      <c r="H11" s="89" t="s">
        <v>170</v>
      </c>
      <c r="I11" s="90" t="s">
        <v>169</v>
      </c>
      <c r="J11" s="91" t="s">
        <v>171</v>
      </c>
      <c r="K11" s="92" t="s">
        <v>172</v>
      </c>
    </row>
    <row r="12" spans="1:11" ht="13" x14ac:dyDescent="0.25">
      <c r="A12" s="76" t="s">
        <v>427</v>
      </c>
      <c r="B12" s="83">
        <v>46277</v>
      </c>
      <c r="C12" s="76" t="str">
        <f>'Konsep&amp;Sim Modul Claim'!C76</f>
        <v>PT Baja Semesta Mandiri</v>
      </c>
      <c r="D12" s="8" t="s">
        <v>168</v>
      </c>
      <c r="E12" s="78">
        <f>'Simulasi Claim Kombinasi jalur'!F81</f>
        <v>52927927.927927926</v>
      </c>
      <c r="F12" s="186" t="s">
        <v>233</v>
      </c>
      <c r="G12" s="88" t="s">
        <v>179</v>
      </c>
      <c r="H12" s="89" t="s">
        <v>170</v>
      </c>
      <c r="I12" s="90" t="s">
        <v>169</v>
      </c>
      <c r="J12" s="91" t="s">
        <v>171</v>
      </c>
      <c r="K12" s="92" t="s">
        <v>172</v>
      </c>
    </row>
    <row r="14" spans="1:11" ht="13" x14ac:dyDescent="0.25">
      <c r="A14" s="3" t="s">
        <v>180</v>
      </c>
    </row>
    <row r="16" spans="1:11" ht="13" x14ac:dyDescent="0.25">
      <c r="B16" s="205" t="s">
        <v>234</v>
      </c>
      <c r="C16" s="205"/>
    </row>
    <row r="17" spans="1:11" ht="19.5" customHeight="1" x14ac:dyDescent="0.25">
      <c r="B17" s="92" t="s">
        <v>233</v>
      </c>
      <c r="C17" s="5"/>
      <c r="D17" s="79" t="s">
        <v>431</v>
      </c>
    </row>
    <row r="19" spans="1:11" ht="27" customHeight="1" x14ac:dyDescent="0.25">
      <c r="A19" s="72" t="s">
        <v>4</v>
      </c>
      <c r="B19" s="5" t="s">
        <v>5</v>
      </c>
      <c r="C19" s="5" t="s">
        <v>128</v>
      </c>
      <c r="D19" s="7" t="s">
        <v>9</v>
      </c>
      <c r="E19" s="5" t="s">
        <v>6</v>
      </c>
      <c r="F19" s="7" t="s">
        <v>133</v>
      </c>
      <c r="G19" s="7" t="s">
        <v>7</v>
      </c>
      <c r="H19" s="7" t="s">
        <v>428</v>
      </c>
    </row>
    <row r="20" spans="1:11" x14ac:dyDescent="0.25">
      <c r="A20" s="85">
        <v>1</v>
      </c>
      <c r="B20" s="164" t="str">
        <f>'Konsep&amp;Sim Modul Claim'!C76</f>
        <v>PT Baja Semesta Mandiri</v>
      </c>
      <c r="C20" s="164" t="str">
        <f>'Konsep&amp;Sim Modul Claim'!D76</f>
        <v>Galvalum 025</v>
      </c>
      <c r="D20" s="164" t="str">
        <f>'Konsep&amp;Sim Modul Claim'!E76</f>
        <v>BSM-C002</v>
      </c>
      <c r="E20" s="164" t="str">
        <f>'Konsep&amp;Sim Modul Claim'!F76</f>
        <v>PO-001</v>
      </c>
      <c r="F20" s="185">
        <f>'Konsep&amp;Sim Modul Claim'!G76</f>
        <v>3124.9993116809756</v>
      </c>
      <c r="G20" s="164" t="str">
        <f>'Konsep&amp;Sim Modul Claim'!H76</f>
        <v>Karat</v>
      </c>
      <c r="H20" s="2" t="str">
        <f>'Konsep&amp;Sim SJ Retur'!B34</f>
        <v>SJ-03</v>
      </c>
    </row>
    <row r="22" spans="1:11" ht="13" x14ac:dyDescent="0.25">
      <c r="A22" s="94"/>
      <c r="B22" s="77" t="s">
        <v>182</v>
      </c>
      <c r="C22" s="189">
        <f>E12</f>
        <v>52927927.927927926</v>
      </c>
      <c r="D22" s="2" t="s">
        <v>183</v>
      </c>
    </row>
    <row r="23" spans="1:11" ht="13" x14ac:dyDescent="0.25">
      <c r="B23" s="77" t="s">
        <v>137</v>
      </c>
      <c r="C23" s="96">
        <v>1</v>
      </c>
      <c r="D23" s="2" t="s">
        <v>184</v>
      </c>
    </row>
    <row r="24" spans="1:11" ht="13" x14ac:dyDescent="0.25">
      <c r="B24" s="77" t="s">
        <v>185</v>
      </c>
      <c r="C24" s="97">
        <f>C22*C23</f>
        <v>52927927.927927926</v>
      </c>
      <c r="D24" s="2" t="s">
        <v>186</v>
      </c>
    </row>
    <row r="27" spans="1:11" ht="13" x14ac:dyDescent="0.25">
      <c r="D27" s="70" t="s">
        <v>131</v>
      </c>
      <c r="E27" s="69" t="s">
        <v>187</v>
      </c>
    </row>
    <row r="29" spans="1:11" ht="13" x14ac:dyDescent="0.25">
      <c r="A29" s="204" t="s">
        <v>430</v>
      </c>
      <c r="B29" s="204"/>
      <c r="C29" s="204"/>
      <c r="D29" s="204"/>
      <c r="E29" s="204"/>
      <c r="F29" s="204"/>
      <c r="G29" s="204"/>
      <c r="H29" s="204"/>
      <c r="I29" s="204"/>
      <c r="J29" s="204"/>
    </row>
    <row r="30" spans="1:11" ht="13" x14ac:dyDescent="0.25">
      <c r="A30" s="3" t="s">
        <v>174</v>
      </c>
    </row>
    <row r="31" spans="1:11" ht="13" x14ac:dyDescent="0.25">
      <c r="A31" s="3"/>
    </row>
    <row r="32" spans="1:11" ht="13" x14ac:dyDescent="0.25">
      <c r="A32" s="5" t="s">
        <v>156</v>
      </c>
      <c r="B32" s="5" t="s">
        <v>157</v>
      </c>
      <c r="C32" s="5" t="s">
        <v>5</v>
      </c>
      <c r="D32" s="5" t="s">
        <v>158</v>
      </c>
      <c r="E32" s="5" t="s">
        <v>159</v>
      </c>
      <c r="F32" s="5" t="s">
        <v>253</v>
      </c>
      <c r="G32" s="5" t="s">
        <v>160</v>
      </c>
      <c r="H32" s="202" t="s">
        <v>8</v>
      </c>
      <c r="I32" s="202"/>
      <c r="J32" s="202"/>
      <c r="K32" s="202"/>
    </row>
    <row r="33" spans="1:11" ht="13" x14ac:dyDescent="0.25">
      <c r="A33" s="8" t="s">
        <v>161</v>
      </c>
      <c r="B33" s="83">
        <v>46276</v>
      </c>
      <c r="C33" s="76" t="s">
        <v>236</v>
      </c>
      <c r="D33" s="8" t="s">
        <v>163</v>
      </c>
      <c r="E33" s="78">
        <v>14277.4</v>
      </c>
      <c r="F33" s="186" t="s">
        <v>139</v>
      </c>
      <c r="G33" s="84" t="s">
        <v>175</v>
      </c>
      <c r="H33" s="89" t="s">
        <v>170</v>
      </c>
      <c r="I33" s="90" t="s">
        <v>169</v>
      </c>
      <c r="J33" s="91" t="s">
        <v>171</v>
      </c>
      <c r="K33" s="92" t="s">
        <v>172</v>
      </c>
    </row>
    <row r="34" spans="1:11" ht="13" x14ac:dyDescent="0.25">
      <c r="A34" s="8" t="s">
        <v>164</v>
      </c>
      <c r="B34" s="83">
        <v>46276</v>
      </c>
      <c r="C34" s="8" t="s">
        <v>165</v>
      </c>
      <c r="D34" s="8" t="s">
        <v>163</v>
      </c>
      <c r="E34" s="78">
        <v>2637.4</v>
      </c>
      <c r="F34" s="186" t="s">
        <v>139</v>
      </c>
      <c r="G34" s="86" t="s">
        <v>173</v>
      </c>
      <c r="H34" s="89" t="s">
        <v>170</v>
      </c>
      <c r="I34" s="90" t="s">
        <v>169</v>
      </c>
      <c r="J34" s="91" t="s">
        <v>171</v>
      </c>
      <c r="K34" s="92" t="s">
        <v>172</v>
      </c>
    </row>
    <row r="35" spans="1:11" ht="13" x14ac:dyDescent="0.25">
      <c r="A35" s="8" t="s">
        <v>166</v>
      </c>
      <c r="B35" s="83">
        <v>46277</v>
      </c>
      <c r="C35" s="8" t="s">
        <v>167</v>
      </c>
      <c r="D35" s="8" t="s">
        <v>168</v>
      </c>
      <c r="E35" s="78">
        <v>25500000</v>
      </c>
      <c r="F35" s="186" t="s">
        <v>139</v>
      </c>
      <c r="G35" s="87" t="s">
        <v>176</v>
      </c>
      <c r="H35" s="89" t="s">
        <v>170</v>
      </c>
      <c r="I35" s="90" t="s">
        <v>169</v>
      </c>
      <c r="J35" s="91" t="s">
        <v>171</v>
      </c>
      <c r="K35" s="92" t="s">
        <v>172</v>
      </c>
    </row>
    <row r="36" spans="1:11" ht="13" x14ac:dyDescent="0.25">
      <c r="A36" s="76" t="s">
        <v>177</v>
      </c>
      <c r="B36" s="83">
        <v>46277</v>
      </c>
      <c r="C36" s="8" t="s">
        <v>306</v>
      </c>
      <c r="D36" s="8" t="s">
        <v>168</v>
      </c>
      <c r="E36" s="78">
        <v>20000000</v>
      </c>
      <c r="F36" s="186" t="s">
        <v>233</v>
      </c>
      <c r="G36" s="123" t="s">
        <v>307</v>
      </c>
      <c r="H36" s="89" t="s">
        <v>170</v>
      </c>
      <c r="I36" s="90" t="s">
        <v>169</v>
      </c>
      <c r="J36" s="91" t="s">
        <v>171</v>
      </c>
      <c r="K36" s="92" t="s">
        <v>172</v>
      </c>
    </row>
    <row r="37" spans="1:11" ht="13" x14ac:dyDescent="0.25">
      <c r="A37" s="76" t="s">
        <v>305</v>
      </c>
      <c r="B37" s="83">
        <v>46277</v>
      </c>
      <c r="C37" s="76" t="str">
        <f>C11</f>
        <v>PT Baja Semesta Mandiri</v>
      </c>
      <c r="D37" s="76" t="str">
        <f t="shared" ref="D37:F37" si="0">D11</f>
        <v>IDR</v>
      </c>
      <c r="E37" s="170">
        <f t="shared" si="0"/>
        <v>2306810.8108108104</v>
      </c>
      <c r="F37" s="187" t="str">
        <f t="shared" si="0"/>
        <v>Kompensasi</v>
      </c>
      <c r="G37" s="88" t="s">
        <v>179</v>
      </c>
      <c r="H37" s="89" t="s">
        <v>170</v>
      </c>
      <c r="I37" s="90" t="s">
        <v>169</v>
      </c>
      <c r="J37" s="91" t="s">
        <v>171</v>
      </c>
      <c r="K37" s="92" t="s">
        <v>172</v>
      </c>
    </row>
    <row r="38" spans="1:11" ht="13" x14ac:dyDescent="0.25">
      <c r="A38" s="76" t="s">
        <v>427</v>
      </c>
      <c r="B38" s="83">
        <v>46277</v>
      </c>
      <c r="C38" s="76" t="str">
        <f t="shared" ref="C38:F38" si="1">C12</f>
        <v>PT Baja Semesta Mandiri</v>
      </c>
      <c r="D38" s="76" t="str">
        <f t="shared" si="1"/>
        <v>IDR</v>
      </c>
      <c r="E38" s="170">
        <f t="shared" si="1"/>
        <v>52927927.927927926</v>
      </c>
      <c r="F38" s="187" t="str">
        <f t="shared" si="1"/>
        <v>Retur</v>
      </c>
      <c r="G38" s="88" t="s">
        <v>179</v>
      </c>
      <c r="H38" s="89" t="s">
        <v>170</v>
      </c>
      <c r="I38" s="90" t="s">
        <v>169</v>
      </c>
      <c r="J38" s="91" t="s">
        <v>171</v>
      </c>
      <c r="K38" s="92" t="s">
        <v>172</v>
      </c>
    </row>
    <row r="40" spans="1:11" ht="13" x14ac:dyDescent="0.25">
      <c r="A40" s="3" t="s">
        <v>180</v>
      </c>
    </row>
    <row r="42" spans="1:11" ht="13" x14ac:dyDescent="0.25">
      <c r="B42" s="205" t="s">
        <v>234</v>
      </c>
      <c r="C42" s="205"/>
    </row>
    <row r="43" spans="1:11" ht="19.5" customHeight="1" x14ac:dyDescent="0.25">
      <c r="B43" s="5"/>
      <c r="C43" s="92" t="s">
        <v>139</v>
      </c>
      <c r="D43" s="79"/>
    </row>
    <row r="45" spans="1:11" ht="27" customHeight="1" x14ac:dyDescent="0.25">
      <c r="A45" s="72" t="s">
        <v>4</v>
      </c>
      <c r="B45" s="5" t="s">
        <v>5</v>
      </c>
      <c r="C45" s="5" t="s">
        <v>128</v>
      </c>
      <c r="D45" s="7" t="s">
        <v>9</v>
      </c>
      <c r="E45" s="5" t="s">
        <v>6</v>
      </c>
      <c r="F45" s="7" t="s">
        <v>133</v>
      </c>
      <c r="G45" s="7" t="s">
        <v>7</v>
      </c>
      <c r="H45" s="7" t="s">
        <v>428</v>
      </c>
    </row>
    <row r="46" spans="1:11" ht="37.5" x14ac:dyDescent="0.25">
      <c r="A46" s="85">
        <v>1</v>
      </c>
      <c r="B46" s="188" t="str">
        <f>'Konsep&amp;Sim Modul Claim'!C49</f>
        <v>PT Baja Semesta Mandiri</v>
      </c>
      <c r="C46" s="188" t="str">
        <f>'Konsep&amp;Sim Modul Claim'!D49</f>
        <v>Galvalum 025</v>
      </c>
      <c r="D46" s="188" t="str">
        <f>'Konsep&amp;Sim Modul Claim'!E49</f>
        <v>BSM-C001</v>
      </c>
      <c r="E46" s="188" t="str">
        <f>'Konsep&amp;Sim Modul Claim'!F49</f>
        <v>PO-001</v>
      </c>
      <c r="F46" s="188">
        <f>'Konsep&amp;Sim Modul Claim'!G49</f>
        <v>681</v>
      </c>
      <c r="G46" s="188" t="str">
        <f>'Konsep&amp;Sim Modul Claim'!H49</f>
        <v>KW 2</v>
      </c>
    </row>
    <row r="48" spans="1:11" ht="13" x14ac:dyDescent="0.25">
      <c r="A48" s="94"/>
      <c r="B48" s="77" t="s">
        <v>182</v>
      </c>
      <c r="C48" s="189">
        <f>E37</f>
        <v>2306810.8108108104</v>
      </c>
      <c r="D48" s="2" t="s">
        <v>183</v>
      </c>
    </row>
    <row r="49" spans="2:5" ht="13" x14ac:dyDescent="0.25">
      <c r="B49" s="77" t="s">
        <v>137</v>
      </c>
      <c r="C49" s="96">
        <v>1</v>
      </c>
      <c r="D49" s="2" t="s">
        <v>184</v>
      </c>
    </row>
    <row r="50" spans="2:5" ht="13" x14ac:dyDescent="0.25">
      <c r="B50" s="77" t="s">
        <v>185</v>
      </c>
      <c r="C50" s="97">
        <f>C48*C49</f>
        <v>2306810.8108108104</v>
      </c>
      <c r="D50" s="2" t="s">
        <v>186</v>
      </c>
    </row>
    <row r="53" spans="2:5" ht="13" x14ac:dyDescent="0.25">
      <c r="D53" s="70" t="s">
        <v>131</v>
      </c>
      <c r="E53" s="69" t="s">
        <v>187</v>
      </c>
    </row>
    <row r="55" spans="2:5" ht="13" x14ac:dyDescent="0.25">
      <c r="B55" s="77" t="s">
        <v>327</v>
      </c>
    </row>
    <row r="56" spans="2:5" ht="13" x14ac:dyDescent="0.25">
      <c r="B56" s="5" t="s">
        <v>328</v>
      </c>
      <c r="C56" s="5" t="s">
        <v>329</v>
      </c>
      <c r="D56" s="5" t="s">
        <v>330</v>
      </c>
    </row>
    <row r="57" spans="2:5" ht="25" x14ac:dyDescent="0.25">
      <c r="B57" s="173" t="s">
        <v>432</v>
      </c>
      <c r="C57" s="137">
        <f>C50</f>
        <v>2306810.8108108104</v>
      </c>
      <c r="D57" s="8"/>
    </row>
    <row r="58" spans="2:5" ht="25" x14ac:dyDescent="0.25">
      <c r="B58" s="175" t="s">
        <v>433</v>
      </c>
      <c r="C58" s="8"/>
      <c r="D58" s="137">
        <f>C50</f>
        <v>2306810.8108108104</v>
      </c>
    </row>
  </sheetData>
  <mergeCells count="6">
    <mergeCell ref="B42:C42"/>
    <mergeCell ref="H6:K6"/>
    <mergeCell ref="B16:C16"/>
    <mergeCell ref="A3:J3"/>
    <mergeCell ref="A29:J29"/>
    <mergeCell ref="H32:K3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3138E-E957-4B51-9837-5CF155FE23FC}">
  <sheetPr>
    <tabColor rgb="FFFFFF00"/>
  </sheetPr>
  <dimension ref="A1:J79"/>
  <sheetViews>
    <sheetView zoomScale="85" zoomScaleNormal="85" workbookViewId="0">
      <selection activeCell="B76" sqref="B76:D79"/>
    </sheetView>
  </sheetViews>
  <sheetFormatPr defaultRowHeight="12.5" x14ac:dyDescent="0.25"/>
  <cols>
    <col min="1" max="1" width="20.36328125" style="2" customWidth="1"/>
    <col min="2" max="2" width="20.81640625" style="2" customWidth="1"/>
    <col min="3" max="3" width="33.54296875" style="2" bestFit="1" customWidth="1"/>
    <col min="4" max="4" width="18.6328125" style="2" customWidth="1"/>
    <col min="5" max="5" width="16.36328125" style="2" bestFit="1" customWidth="1"/>
    <col min="6" max="6" width="11.453125" style="2" bestFit="1" customWidth="1"/>
    <col min="7" max="7" width="11" style="2" customWidth="1"/>
    <col min="8" max="16384" width="8.7265625" style="2"/>
  </cols>
  <sheetData>
    <row r="1" spans="1:10" ht="13" x14ac:dyDescent="0.25">
      <c r="A1" s="3" t="s">
        <v>188</v>
      </c>
    </row>
    <row r="3" spans="1:10" ht="13" x14ac:dyDescent="0.25">
      <c r="A3" s="204" t="s">
        <v>227</v>
      </c>
      <c r="B3" s="204"/>
      <c r="C3" s="204"/>
      <c r="D3" s="204"/>
      <c r="E3" s="204"/>
      <c r="F3" s="204"/>
      <c r="G3" s="204"/>
      <c r="H3" s="204"/>
      <c r="J3" s="2" t="s">
        <v>209</v>
      </c>
    </row>
    <row r="4" spans="1:10" x14ac:dyDescent="0.25">
      <c r="J4" s="2" t="s">
        <v>229</v>
      </c>
    </row>
    <row r="5" spans="1:10" ht="13" x14ac:dyDescent="0.25">
      <c r="A5" s="77" t="s">
        <v>3</v>
      </c>
      <c r="J5" s="2" t="s">
        <v>230</v>
      </c>
    </row>
    <row r="6" spans="1:10" x14ac:dyDescent="0.25">
      <c r="J6" s="2" t="s">
        <v>212</v>
      </c>
    </row>
    <row r="7" spans="1:10" ht="13" x14ac:dyDescent="0.25">
      <c r="A7" s="5" t="s">
        <v>189</v>
      </c>
      <c r="B7" s="5" t="s">
        <v>157</v>
      </c>
      <c r="C7" s="5" t="s">
        <v>88</v>
      </c>
      <c r="D7" s="5" t="s">
        <v>198</v>
      </c>
      <c r="E7" s="5" t="s">
        <v>190</v>
      </c>
      <c r="F7" s="202" t="s">
        <v>8</v>
      </c>
      <c r="G7" s="202"/>
      <c r="H7" s="202"/>
      <c r="J7" s="2" t="s">
        <v>231</v>
      </c>
    </row>
    <row r="8" spans="1:10" ht="25" x14ac:dyDescent="0.25">
      <c r="A8" s="8" t="s">
        <v>191</v>
      </c>
      <c r="B8" s="83">
        <v>46276</v>
      </c>
      <c r="C8" s="93" t="s">
        <v>162</v>
      </c>
      <c r="D8" s="98" t="s">
        <v>199</v>
      </c>
      <c r="E8" s="8" t="s">
        <v>192</v>
      </c>
      <c r="F8" s="89" t="s">
        <v>170</v>
      </c>
      <c r="G8" s="90" t="s">
        <v>169</v>
      </c>
      <c r="H8" s="8"/>
    </row>
    <row r="9" spans="1:10" ht="25" x14ac:dyDescent="0.25">
      <c r="A9" s="8" t="s">
        <v>193</v>
      </c>
      <c r="B9" s="83">
        <v>46277</v>
      </c>
      <c r="C9" s="93" t="s">
        <v>165</v>
      </c>
      <c r="D9" s="98" t="s">
        <v>200</v>
      </c>
      <c r="E9" s="8" t="s">
        <v>194</v>
      </c>
      <c r="F9" s="91" t="s">
        <v>226</v>
      </c>
      <c r="G9" s="89" t="s">
        <v>170</v>
      </c>
      <c r="H9" s="90" t="s">
        <v>169</v>
      </c>
    </row>
    <row r="10" spans="1:10" ht="13" x14ac:dyDescent="0.25">
      <c r="A10" s="8" t="s">
        <v>181</v>
      </c>
      <c r="B10" s="8" t="s">
        <v>181</v>
      </c>
      <c r="C10" s="93" t="str">
        <f>'Konsep&amp;Sim Modul Claim'!C70</f>
        <v>PT Baja Semesta Mandiri</v>
      </c>
      <c r="D10" s="98" t="str">
        <f>'Konsep&amp;Sim Modul Claim'!D70</f>
        <v>Galvalum 025</v>
      </c>
      <c r="E10" s="8" t="s">
        <v>195</v>
      </c>
      <c r="F10" s="92" t="s">
        <v>196</v>
      </c>
      <c r="G10" s="8"/>
      <c r="H10" s="8"/>
    </row>
    <row r="12" spans="1:10" ht="13" x14ac:dyDescent="0.25">
      <c r="A12" s="77" t="s">
        <v>197</v>
      </c>
    </row>
    <row r="13" spans="1:10" ht="13" x14ac:dyDescent="0.25">
      <c r="A13" s="80" t="s">
        <v>207</v>
      </c>
    </row>
    <row r="14" spans="1:10" x14ac:dyDescent="0.25">
      <c r="A14" s="68" t="s">
        <v>204</v>
      </c>
      <c r="B14" s="100" t="s">
        <v>201</v>
      </c>
      <c r="C14" s="4" t="s">
        <v>202</v>
      </c>
    </row>
    <row r="15" spans="1:10" x14ac:dyDescent="0.25">
      <c r="A15" s="68" t="s">
        <v>205</v>
      </c>
      <c r="B15" s="99">
        <v>46278</v>
      </c>
      <c r="C15" s="4" t="s">
        <v>203</v>
      </c>
    </row>
    <row r="17" spans="1:10" ht="26" x14ac:dyDescent="0.25">
      <c r="A17" s="72" t="s">
        <v>4</v>
      </c>
      <c r="B17" s="5" t="s">
        <v>5</v>
      </c>
      <c r="C17" s="5" t="s">
        <v>128</v>
      </c>
      <c r="D17" s="7" t="s">
        <v>9</v>
      </c>
      <c r="E17" s="5" t="s">
        <v>6</v>
      </c>
      <c r="F17" s="7" t="s">
        <v>133</v>
      </c>
      <c r="G17" s="7" t="s">
        <v>7</v>
      </c>
    </row>
    <row r="18" spans="1:10" x14ac:dyDescent="0.25">
      <c r="A18" s="85">
        <v>1</v>
      </c>
      <c r="B18" s="164" t="str">
        <f>C10</f>
        <v>PT Baja Semesta Mandiri</v>
      </c>
      <c r="C18" s="182" t="str">
        <f>D10</f>
        <v>Galvalum 025</v>
      </c>
      <c r="D18" s="64" t="str">
        <f>'Konsep&amp;Sim Modul Claim'!E70</f>
        <v>BSM-C002</v>
      </c>
      <c r="E18" s="64" t="s">
        <v>10</v>
      </c>
      <c r="F18" s="184">
        <f>'Konsep&amp;Sim Modul Claim'!G76</f>
        <v>3124.9993116809756</v>
      </c>
      <c r="G18" s="184" t="str">
        <f>'Konsep&amp;Sim Modul Claim'!H76</f>
        <v>Karat</v>
      </c>
    </row>
    <row r="20" spans="1:10" ht="13" x14ac:dyDescent="0.25">
      <c r="B20" s="70" t="s">
        <v>131</v>
      </c>
      <c r="C20" s="69" t="s">
        <v>196</v>
      </c>
    </row>
    <row r="23" spans="1:10" ht="13" x14ac:dyDescent="0.25">
      <c r="A23" s="204" t="s">
        <v>228</v>
      </c>
      <c r="B23" s="204"/>
      <c r="C23" s="204"/>
      <c r="D23" s="204"/>
      <c r="E23" s="204"/>
      <c r="F23" s="204"/>
      <c r="G23" s="204"/>
      <c r="H23" s="204"/>
    </row>
    <row r="25" spans="1:10" ht="13" x14ac:dyDescent="0.25">
      <c r="A25" s="77" t="s">
        <v>3</v>
      </c>
    </row>
    <row r="27" spans="1:10" ht="13" x14ac:dyDescent="0.25">
      <c r="A27" s="5" t="s">
        <v>214</v>
      </c>
      <c r="B27" s="5" t="s">
        <v>157</v>
      </c>
      <c r="C27" s="5" t="s">
        <v>88</v>
      </c>
      <c r="D27" s="5" t="s">
        <v>198</v>
      </c>
      <c r="E27" s="5" t="s">
        <v>220</v>
      </c>
      <c r="F27" s="202" t="s">
        <v>8</v>
      </c>
      <c r="G27" s="202"/>
      <c r="H27" s="202"/>
    </row>
    <row r="28" spans="1:10" ht="25" x14ac:dyDescent="0.25">
      <c r="A28" s="8" t="s">
        <v>215</v>
      </c>
      <c r="B28" s="83">
        <v>46276</v>
      </c>
      <c r="C28" s="93" t="s">
        <v>162</v>
      </c>
      <c r="D28" s="98" t="s">
        <v>199</v>
      </c>
      <c r="E28" s="8" t="s">
        <v>223</v>
      </c>
      <c r="F28" s="89" t="s">
        <v>170</v>
      </c>
      <c r="G28" s="90" t="s">
        <v>169</v>
      </c>
      <c r="H28" s="8"/>
      <c r="J28" s="2" t="s">
        <v>209</v>
      </c>
    </row>
    <row r="29" spans="1:10" ht="25" x14ac:dyDescent="0.25">
      <c r="A29" s="8" t="s">
        <v>216</v>
      </c>
      <c r="B29" s="83">
        <v>46277</v>
      </c>
      <c r="C29" s="93" t="s">
        <v>165</v>
      </c>
      <c r="D29" s="98" t="s">
        <v>200</v>
      </c>
      <c r="E29" s="8" t="s">
        <v>222</v>
      </c>
      <c r="F29" s="91" t="s">
        <v>206</v>
      </c>
      <c r="G29" s="89" t="s">
        <v>170</v>
      </c>
      <c r="H29" s="90" t="s">
        <v>169</v>
      </c>
      <c r="J29" s="2" t="s">
        <v>210</v>
      </c>
    </row>
    <row r="30" spans="1:10" ht="13" x14ac:dyDescent="0.25">
      <c r="A30" s="8" t="s">
        <v>181</v>
      </c>
      <c r="B30" s="8" t="s">
        <v>181</v>
      </c>
      <c r="C30" s="93" t="str">
        <f>B18</f>
        <v>PT Baja Semesta Mandiri</v>
      </c>
      <c r="D30" s="98" t="str">
        <f>C18</f>
        <v>Galvalum 025</v>
      </c>
      <c r="E30" s="8" t="s">
        <v>221</v>
      </c>
      <c r="F30" s="92" t="s">
        <v>208</v>
      </c>
      <c r="G30" s="8"/>
      <c r="H30" s="8"/>
      <c r="J30" s="2" t="s">
        <v>211</v>
      </c>
    </row>
    <row r="31" spans="1:10" x14ac:dyDescent="0.25">
      <c r="J31" s="2" t="s">
        <v>212</v>
      </c>
    </row>
    <row r="32" spans="1:10" ht="13" x14ac:dyDescent="0.25">
      <c r="A32" s="77" t="s">
        <v>197</v>
      </c>
      <c r="J32" s="2" t="s">
        <v>213</v>
      </c>
    </row>
    <row r="33" spans="1:7" ht="13" x14ac:dyDescent="0.25">
      <c r="A33" s="80" t="s">
        <v>207</v>
      </c>
    </row>
    <row r="34" spans="1:7" x14ac:dyDescent="0.25">
      <c r="A34" s="68" t="s">
        <v>224</v>
      </c>
      <c r="B34" s="100" t="s">
        <v>225</v>
      </c>
      <c r="C34" s="4" t="s">
        <v>202</v>
      </c>
    </row>
    <row r="35" spans="1:7" x14ac:dyDescent="0.25">
      <c r="A35" s="68" t="s">
        <v>205</v>
      </c>
      <c r="B35" s="99">
        <v>46278</v>
      </c>
      <c r="C35" s="4" t="s">
        <v>203</v>
      </c>
    </row>
    <row r="36" spans="1:7" x14ac:dyDescent="0.25">
      <c r="A36" s="68" t="s">
        <v>217</v>
      </c>
      <c r="B36" s="95" t="str">
        <f>C30</f>
        <v>PT Baja Semesta Mandiri</v>
      </c>
    </row>
    <row r="37" spans="1:7" x14ac:dyDescent="0.25">
      <c r="A37" s="68" t="s">
        <v>218</v>
      </c>
      <c r="B37" s="95" t="s">
        <v>423</v>
      </c>
    </row>
    <row r="38" spans="1:7" x14ac:dyDescent="0.25">
      <c r="A38" s="68" t="s">
        <v>219</v>
      </c>
      <c r="B38" s="95" t="s">
        <v>424</v>
      </c>
    </row>
    <row r="41" spans="1:7" ht="26" x14ac:dyDescent="0.25">
      <c r="A41" s="72" t="s">
        <v>4</v>
      </c>
      <c r="B41" s="5" t="s">
        <v>5</v>
      </c>
      <c r="C41" s="5" t="s">
        <v>128</v>
      </c>
      <c r="D41" s="7" t="s">
        <v>9</v>
      </c>
      <c r="E41" s="5" t="s">
        <v>6</v>
      </c>
      <c r="F41" s="7" t="s">
        <v>133</v>
      </c>
      <c r="G41" s="7" t="s">
        <v>7</v>
      </c>
    </row>
    <row r="42" spans="1:7" x14ac:dyDescent="0.25">
      <c r="A42" s="85">
        <v>1</v>
      </c>
      <c r="B42" s="164" t="str">
        <f>B18</f>
        <v>PT Baja Semesta Mandiri</v>
      </c>
      <c r="C42" s="164" t="str">
        <f t="shared" ref="C42:G42" si="0">C18</f>
        <v>Galvalum 025</v>
      </c>
      <c r="D42" s="164" t="str">
        <f t="shared" si="0"/>
        <v>BSM-C002</v>
      </c>
      <c r="E42" s="164" t="str">
        <f t="shared" si="0"/>
        <v>PO-001</v>
      </c>
      <c r="F42" s="185">
        <f t="shared" si="0"/>
        <v>3124.9993116809756</v>
      </c>
      <c r="G42" s="164" t="str">
        <f t="shared" si="0"/>
        <v>Karat</v>
      </c>
    </row>
    <row r="44" spans="1:7" ht="13" x14ac:dyDescent="0.25">
      <c r="B44" s="70" t="s">
        <v>131</v>
      </c>
      <c r="C44" s="69" t="s">
        <v>208</v>
      </c>
    </row>
    <row r="47" spans="1:7" ht="13" x14ac:dyDescent="0.25">
      <c r="B47" s="77" t="s">
        <v>327</v>
      </c>
    </row>
    <row r="48" spans="1:7" ht="13" x14ac:dyDescent="0.25">
      <c r="B48" s="5" t="s">
        <v>328</v>
      </c>
      <c r="C48" s="5" t="s">
        <v>329</v>
      </c>
      <c r="D48" s="5" t="s">
        <v>330</v>
      </c>
    </row>
    <row r="49" spans="1:10" x14ac:dyDescent="0.25">
      <c r="B49" s="76" t="s">
        <v>331</v>
      </c>
      <c r="C49" s="137">
        <f>'Simulasi Claim Kombinasi jalur'!F81</f>
        <v>52927927.927927926</v>
      </c>
      <c r="D49" s="8"/>
    </row>
    <row r="50" spans="1:10" x14ac:dyDescent="0.25">
      <c r="B50" s="138" t="s">
        <v>384</v>
      </c>
      <c r="C50" s="8"/>
      <c r="D50" s="137">
        <f>'Simulasi Claim Kombinasi jalur'!F81</f>
        <v>52927927.927927926</v>
      </c>
    </row>
    <row r="52" spans="1:10" ht="13" x14ac:dyDescent="0.25">
      <c r="A52" s="204" t="s">
        <v>425</v>
      </c>
      <c r="B52" s="204"/>
      <c r="C52" s="204"/>
      <c r="D52" s="204"/>
      <c r="E52" s="204"/>
      <c r="F52" s="204"/>
      <c r="G52" s="204"/>
      <c r="H52" s="204"/>
    </row>
    <row r="54" spans="1:10" ht="13" x14ac:dyDescent="0.25">
      <c r="A54" s="77" t="s">
        <v>3</v>
      </c>
    </row>
    <row r="56" spans="1:10" ht="13" x14ac:dyDescent="0.25">
      <c r="A56" s="5" t="s">
        <v>214</v>
      </c>
      <c r="B56" s="5" t="s">
        <v>157</v>
      </c>
      <c r="C56" s="5" t="s">
        <v>88</v>
      </c>
      <c r="D56" s="5" t="s">
        <v>198</v>
      </c>
      <c r="E56" s="5" t="s">
        <v>220</v>
      </c>
      <c r="F56" s="202" t="s">
        <v>8</v>
      </c>
      <c r="G56" s="202"/>
      <c r="H56" s="202"/>
    </row>
    <row r="57" spans="1:10" ht="25" x14ac:dyDescent="0.25">
      <c r="A57" s="8" t="s">
        <v>215</v>
      </c>
      <c r="B57" s="83">
        <v>46276</v>
      </c>
      <c r="C57" s="93" t="s">
        <v>162</v>
      </c>
      <c r="D57" s="98" t="s">
        <v>199</v>
      </c>
      <c r="E57" s="8" t="s">
        <v>223</v>
      </c>
      <c r="F57" s="89" t="s">
        <v>170</v>
      </c>
      <c r="G57" s="90" t="s">
        <v>169</v>
      </c>
      <c r="H57" s="8"/>
      <c r="J57" s="2" t="s">
        <v>209</v>
      </c>
    </row>
    <row r="58" spans="1:10" ht="25" x14ac:dyDescent="0.25">
      <c r="A58" s="8" t="s">
        <v>216</v>
      </c>
      <c r="B58" s="83">
        <v>46277</v>
      </c>
      <c r="C58" s="93" t="s">
        <v>165</v>
      </c>
      <c r="D58" s="98" t="s">
        <v>200</v>
      </c>
      <c r="E58" s="8" t="s">
        <v>222</v>
      </c>
      <c r="F58" s="91" t="s">
        <v>206</v>
      </c>
      <c r="G58" s="89" t="s">
        <v>170</v>
      </c>
      <c r="H58" s="90" t="s">
        <v>169</v>
      </c>
      <c r="J58" s="2" t="s">
        <v>210</v>
      </c>
    </row>
    <row r="59" spans="1:10" ht="13" x14ac:dyDescent="0.25">
      <c r="A59" s="8" t="s">
        <v>181</v>
      </c>
      <c r="B59" s="8" t="s">
        <v>181</v>
      </c>
      <c r="C59" s="93" t="str">
        <f>C30</f>
        <v>PT Baja Semesta Mandiri</v>
      </c>
      <c r="D59" s="93" t="str">
        <f>D30</f>
        <v>Galvalum 025</v>
      </c>
      <c r="E59" s="8" t="s">
        <v>222</v>
      </c>
      <c r="F59" s="91" t="s">
        <v>206</v>
      </c>
      <c r="G59" s="89" t="s">
        <v>170</v>
      </c>
      <c r="H59" s="90" t="s">
        <v>169</v>
      </c>
      <c r="J59" s="2" t="s">
        <v>211</v>
      </c>
    </row>
    <row r="60" spans="1:10" x14ac:dyDescent="0.25">
      <c r="J60" s="2" t="s">
        <v>212</v>
      </c>
    </row>
    <row r="61" spans="1:10" ht="13" x14ac:dyDescent="0.25">
      <c r="A61" s="77" t="s">
        <v>197</v>
      </c>
      <c r="J61" s="2" t="s">
        <v>213</v>
      </c>
    </row>
    <row r="62" spans="1:10" ht="13" x14ac:dyDescent="0.25">
      <c r="A62" s="80" t="s">
        <v>207</v>
      </c>
    </row>
    <row r="63" spans="1:10" x14ac:dyDescent="0.25">
      <c r="A63" s="68" t="s">
        <v>224</v>
      </c>
      <c r="B63" s="100" t="s">
        <v>225</v>
      </c>
      <c r="C63" s="4" t="s">
        <v>202</v>
      </c>
    </row>
    <row r="64" spans="1:10" x14ac:dyDescent="0.25">
      <c r="A64" s="68" t="s">
        <v>205</v>
      </c>
      <c r="B64" s="99">
        <v>46278</v>
      </c>
      <c r="C64" s="4" t="s">
        <v>203</v>
      </c>
    </row>
    <row r="65" spans="1:7" x14ac:dyDescent="0.25">
      <c r="A65" s="68" t="s">
        <v>217</v>
      </c>
      <c r="B65" s="95" t="str">
        <f>C59</f>
        <v>PT Baja Semesta Mandiri</v>
      </c>
    </row>
    <row r="66" spans="1:7" x14ac:dyDescent="0.25">
      <c r="A66" s="68" t="s">
        <v>218</v>
      </c>
      <c r="B66" s="95" t="s">
        <v>423</v>
      </c>
    </row>
    <row r="67" spans="1:7" x14ac:dyDescent="0.25">
      <c r="A67" s="68" t="s">
        <v>219</v>
      </c>
      <c r="B67" s="95" t="s">
        <v>424</v>
      </c>
    </row>
    <row r="70" spans="1:7" ht="26" x14ac:dyDescent="0.25">
      <c r="A70" s="72" t="s">
        <v>4</v>
      </c>
      <c r="B70" s="5" t="s">
        <v>5</v>
      </c>
      <c r="C70" s="5" t="s">
        <v>128</v>
      </c>
      <c r="D70" s="7" t="s">
        <v>9</v>
      </c>
      <c r="E70" s="5" t="s">
        <v>6</v>
      </c>
      <c r="F70" s="7" t="s">
        <v>133</v>
      </c>
      <c r="G70" s="7" t="s">
        <v>7</v>
      </c>
    </row>
    <row r="71" spans="1:7" x14ac:dyDescent="0.25">
      <c r="A71" s="85">
        <v>1</v>
      </c>
      <c r="B71" s="164" t="str">
        <f>B42</f>
        <v>PT Baja Semesta Mandiri</v>
      </c>
      <c r="C71" s="164" t="str">
        <f t="shared" ref="C71:G71" si="1">C42</f>
        <v>Galvalum 025</v>
      </c>
      <c r="D71" s="164" t="str">
        <f t="shared" si="1"/>
        <v>BSM-C002</v>
      </c>
      <c r="E71" s="164" t="str">
        <f t="shared" si="1"/>
        <v>PO-001</v>
      </c>
      <c r="F71" s="185">
        <f t="shared" si="1"/>
        <v>3124.9993116809756</v>
      </c>
      <c r="G71" s="164" t="str">
        <f t="shared" si="1"/>
        <v>Karat</v>
      </c>
    </row>
    <row r="73" spans="1:7" ht="13" x14ac:dyDescent="0.25">
      <c r="B73" s="70" t="s">
        <v>131</v>
      </c>
      <c r="C73" s="69" t="s">
        <v>208</v>
      </c>
    </row>
    <row r="76" spans="1:7" ht="13" x14ac:dyDescent="0.25">
      <c r="B76" s="77" t="s">
        <v>327</v>
      </c>
    </row>
    <row r="77" spans="1:7" ht="13" x14ac:dyDescent="0.25">
      <c r="B77" s="5" t="s">
        <v>328</v>
      </c>
      <c r="C77" s="5" t="s">
        <v>329</v>
      </c>
      <c r="D77" s="5" t="s">
        <v>330</v>
      </c>
    </row>
    <row r="78" spans="1:7" x14ac:dyDescent="0.25">
      <c r="B78" s="76" t="s">
        <v>426</v>
      </c>
      <c r="C78" s="137">
        <f>'Simulasi Claim Kombinasi jalur'!F81</f>
        <v>52927927.927927926</v>
      </c>
      <c r="D78" s="8"/>
    </row>
    <row r="79" spans="1:7" x14ac:dyDescent="0.25">
      <c r="B79" s="138" t="s">
        <v>331</v>
      </c>
      <c r="C79" s="8"/>
      <c r="D79" s="137">
        <f>'Simulasi Claim Kombinasi jalur'!F81</f>
        <v>52927927.927927926</v>
      </c>
    </row>
  </sheetData>
  <mergeCells count="6">
    <mergeCell ref="A52:H52"/>
    <mergeCell ref="F56:H56"/>
    <mergeCell ref="F7:H7"/>
    <mergeCell ref="A3:H3"/>
    <mergeCell ref="A23:H23"/>
    <mergeCell ref="F27:H27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263AB-3978-4471-8F05-19C813614226}">
  <sheetPr>
    <tabColor rgb="FFFFFF00"/>
  </sheetPr>
  <dimension ref="A1:L50"/>
  <sheetViews>
    <sheetView zoomScale="85" zoomScaleNormal="85" workbookViewId="0">
      <selection activeCell="O64" sqref="O64"/>
    </sheetView>
  </sheetViews>
  <sheetFormatPr defaultRowHeight="12.5" x14ac:dyDescent="0.25"/>
  <cols>
    <col min="1" max="2" width="8.7265625" style="2"/>
    <col min="3" max="3" width="16.1796875" style="2" bestFit="1" customWidth="1"/>
    <col min="4" max="6" width="8.7265625" style="2"/>
    <col min="7" max="7" width="30.81640625" style="2" bestFit="1" customWidth="1"/>
    <col min="8" max="15" width="8.7265625" style="2"/>
    <col min="16" max="16" width="13.81640625" style="2" bestFit="1" customWidth="1"/>
    <col min="17" max="16384" width="8.7265625" style="2"/>
  </cols>
  <sheetData>
    <row r="1" spans="1:12" ht="13" x14ac:dyDescent="0.25">
      <c r="A1" s="3" t="s">
        <v>332</v>
      </c>
    </row>
    <row r="3" spans="1:12" ht="13" x14ac:dyDescent="0.25">
      <c r="A3" s="204" t="s">
        <v>333</v>
      </c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</row>
    <row r="18" spans="2:7" ht="13" x14ac:dyDescent="0.25">
      <c r="B18" s="77" t="s">
        <v>334</v>
      </c>
      <c r="C18" s="190" t="s">
        <v>414</v>
      </c>
      <c r="F18" s="77" t="s">
        <v>335</v>
      </c>
      <c r="G18" s="141" t="s">
        <v>336</v>
      </c>
    </row>
    <row r="34" spans="1:12" ht="13" x14ac:dyDescent="0.25">
      <c r="A34" s="204" t="s">
        <v>337</v>
      </c>
      <c r="B34" s="204"/>
      <c r="C34" s="204"/>
      <c r="D34" s="204"/>
      <c r="E34" s="204"/>
      <c r="F34" s="204"/>
      <c r="G34" s="204"/>
      <c r="H34" s="204"/>
      <c r="I34" s="204"/>
      <c r="J34" s="204"/>
      <c r="K34" s="204"/>
      <c r="L34" s="204"/>
    </row>
    <row r="49" spans="2:7" ht="13" x14ac:dyDescent="0.25">
      <c r="B49" s="77" t="s">
        <v>334</v>
      </c>
      <c r="C49" s="140" t="str">
        <f>'Konsep&amp;Sim Debit Note'!A11</f>
        <v>DN-2609-005</v>
      </c>
      <c r="F49" s="77" t="s">
        <v>335</v>
      </c>
      <c r="G49" s="142">
        <f>'Konsep&amp;Sim Debit Note'!E11</f>
        <v>2306810.8108108104</v>
      </c>
    </row>
    <row r="50" spans="2:7" ht="13" x14ac:dyDescent="0.25">
      <c r="B50" s="77"/>
      <c r="C50" s="140" t="str">
        <f>'Konsep&amp;Sim Debit Note'!A12</f>
        <v>DN-2609-006</v>
      </c>
      <c r="F50" s="77"/>
      <c r="G50" s="142">
        <f>'Konsep&amp;Sim Debit Note'!E12</f>
        <v>52927927.927927926</v>
      </c>
    </row>
  </sheetData>
  <mergeCells count="2">
    <mergeCell ref="A3:L3"/>
    <mergeCell ref="A34:L34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18CAC-7980-40DF-BC7D-81F68805C6DF}">
  <sheetPr>
    <tabColor rgb="FFFFFF00"/>
  </sheetPr>
  <dimension ref="B2:G28"/>
  <sheetViews>
    <sheetView showGridLines="0" workbookViewId="0">
      <selection activeCell="C10" sqref="C10:D10"/>
    </sheetView>
  </sheetViews>
  <sheetFormatPr defaultRowHeight="14" x14ac:dyDescent="0.3"/>
  <cols>
    <col min="1" max="1" width="2" style="101" customWidth="1"/>
    <col min="2" max="2" width="25.6328125" style="101" customWidth="1"/>
    <col min="3" max="3" width="18" style="101" customWidth="1"/>
    <col min="4" max="4" width="13" style="101" customWidth="1"/>
    <col min="5" max="5" width="15" style="101" customWidth="1"/>
    <col min="6" max="7" width="16" style="101" customWidth="1"/>
    <col min="8" max="8" width="2" style="101" customWidth="1"/>
    <col min="9" max="16384" width="8.7265625" style="101"/>
  </cols>
  <sheetData>
    <row r="2" spans="2:7" ht="20" x14ac:dyDescent="0.3">
      <c r="B2" s="216" t="s">
        <v>309</v>
      </c>
      <c r="C2" s="217"/>
      <c r="D2" s="217"/>
      <c r="E2" s="217"/>
      <c r="F2" s="217"/>
      <c r="G2" s="217"/>
    </row>
    <row r="3" spans="2:7" x14ac:dyDescent="0.3">
      <c r="B3" s="218" t="s">
        <v>310</v>
      </c>
      <c r="C3" s="217"/>
      <c r="D3" s="217"/>
      <c r="E3" s="217"/>
      <c r="F3" s="217"/>
      <c r="G3" s="217"/>
    </row>
    <row r="5" spans="2:7" ht="15.5" x14ac:dyDescent="0.3">
      <c r="B5" s="219" t="s">
        <v>311</v>
      </c>
      <c r="C5" s="220"/>
      <c r="D5" s="220"/>
      <c r="E5" s="220"/>
      <c r="F5" s="220"/>
      <c r="G5" s="220"/>
    </row>
    <row r="7" spans="2:7" x14ac:dyDescent="0.3">
      <c r="B7" s="124" t="s">
        <v>156</v>
      </c>
      <c r="C7" s="124" t="s">
        <v>88</v>
      </c>
      <c r="D7" s="125" t="s">
        <v>312</v>
      </c>
      <c r="E7" s="125" t="s">
        <v>254</v>
      </c>
      <c r="F7" s="125" t="s">
        <v>134</v>
      </c>
      <c r="G7" s="139" t="s">
        <v>8</v>
      </c>
    </row>
    <row r="8" spans="2:7" ht="18" customHeight="1" x14ac:dyDescent="0.3">
      <c r="B8" s="126" t="s">
        <v>313</v>
      </c>
      <c r="C8" s="126" t="s">
        <v>167</v>
      </c>
      <c r="D8" s="127" t="s">
        <v>139</v>
      </c>
      <c r="E8" s="128">
        <v>45200000</v>
      </c>
      <c r="F8" s="129" t="s">
        <v>314</v>
      </c>
      <c r="G8" s="130" t="s">
        <v>315</v>
      </c>
    </row>
    <row r="9" spans="2:7" ht="18" customHeight="1" x14ac:dyDescent="0.3">
      <c r="B9" s="126" t="s">
        <v>316</v>
      </c>
      <c r="C9" s="126" t="s">
        <v>306</v>
      </c>
      <c r="D9" s="127" t="s">
        <v>139</v>
      </c>
      <c r="E9" s="128">
        <v>29000000</v>
      </c>
      <c r="F9" s="129" t="s">
        <v>314</v>
      </c>
      <c r="G9" s="130" t="s">
        <v>315</v>
      </c>
    </row>
    <row r="10" spans="2:7" ht="18" customHeight="1" x14ac:dyDescent="0.3">
      <c r="B10" s="126" t="s">
        <v>317</v>
      </c>
      <c r="C10" s="126" t="s">
        <v>178</v>
      </c>
      <c r="D10" s="131" t="s">
        <v>233</v>
      </c>
      <c r="E10" s="128">
        <v>30000000</v>
      </c>
      <c r="F10" s="132" t="s">
        <v>318</v>
      </c>
      <c r="G10" s="133" t="s">
        <v>181</v>
      </c>
    </row>
    <row r="13" spans="2:7" ht="15.5" x14ac:dyDescent="0.3">
      <c r="B13" s="219" t="s">
        <v>326</v>
      </c>
      <c r="C13" s="220"/>
      <c r="D13" s="220"/>
      <c r="E13" s="220"/>
      <c r="F13" s="220"/>
      <c r="G13" s="220"/>
    </row>
    <row r="15" spans="2:7" x14ac:dyDescent="0.3">
      <c r="B15" s="210" t="s">
        <v>319</v>
      </c>
      <c r="C15" s="211"/>
      <c r="D15" s="212" t="s">
        <v>139</v>
      </c>
      <c r="E15" s="211"/>
    </row>
    <row r="16" spans="2:7" x14ac:dyDescent="0.3">
      <c r="B16" s="210" t="s">
        <v>280</v>
      </c>
      <c r="C16" s="211"/>
      <c r="D16" s="212" t="s">
        <v>257</v>
      </c>
      <c r="E16" s="211"/>
    </row>
    <row r="17" spans="2:7" x14ac:dyDescent="0.3">
      <c r="B17" s="210" t="s">
        <v>281</v>
      </c>
      <c r="C17" s="211"/>
      <c r="D17" s="213">
        <f>E10</f>
        <v>30000000</v>
      </c>
      <c r="E17" s="211"/>
    </row>
    <row r="19" spans="2:7" ht="30" customHeight="1" x14ac:dyDescent="0.3">
      <c r="B19" s="214" t="s">
        <v>320</v>
      </c>
      <c r="C19" s="215"/>
      <c r="D19" s="215"/>
      <c r="E19" s="215"/>
      <c r="F19" s="215"/>
      <c r="G19" s="215"/>
    </row>
    <row r="21" spans="2:7" ht="18" customHeight="1" x14ac:dyDescent="0.3">
      <c r="B21" s="134" t="s">
        <v>321</v>
      </c>
      <c r="C21" s="208" t="s">
        <v>322</v>
      </c>
      <c r="D21" s="209"/>
      <c r="E21" s="209"/>
    </row>
    <row r="22" spans="2:7" ht="18" customHeight="1" x14ac:dyDescent="0.3">
      <c r="B22" s="134" t="s">
        <v>323</v>
      </c>
      <c r="C22" s="208"/>
      <c r="D22" s="209"/>
      <c r="E22" s="209"/>
    </row>
    <row r="25" spans="2:7" ht="20" customHeight="1" x14ac:dyDescent="0.3">
      <c r="B25" s="135" t="s">
        <v>294</v>
      </c>
      <c r="C25" s="206" t="s">
        <v>324</v>
      </c>
      <c r="D25" s="207"/>
      <c r="E25" s="207"/>
    </row>
    <row r="28" spans="2:7" x14ac:dyDescent="0.3">
      <c r="B28" s="136" t="s">
        <v>325</v>
      </c>
    </row>
  </sheetData>
  <mergeCells count="14">
    <mergeCell ref="B2:G2"/>
    <mergeCell ref="B3:G3"/>
    <mergeCell ref="B5:G5"/>
    <mergeCell ref="B13:G13"/>
    <mergeCell ref="B15:C15"/>
    <mergeCell ref="D15:E15"/>
    <mergeCell ref="C25:E25"/>
    <mergeCell ref="C22:E22"/>
    <mergeCell ref="B16:C16"/>
    <mergeCell ref="D16:E16"/>
    <mergeCell ref="B17:C17"/>
    <mergeCell ref="D17:E17"/>
    <mergeCell ref="B19:G19"/>
    <mergeCell ref="C21:E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03952-0B18-49DF-8F10-EC1A19B49FDA}">
  <sheetPr>
    <tabColor rgb="FFFFFF00"/>
  </sheetPr>
  <dimension ref="B2:I18"/>
  <sheetViews>
    <sheetView showGridLines="0" workbookViewId="0">
      <selection activeCell="F15" sqref="F15"/>
    </sheetView>
  </sheetViews>
  <sheetFormatPr defaultRowHeight="14" x14ac:dyDescent="0.3"/>
  <cols>
    <col min="1" max="1" width="2" style="101" customWidth="1"/>
    <col min="2" max="2" width="14" style="101" customWidth="1"/>
    <col min="3" max="3" width="13" style="101" customWidth="1"/>
    <col min="4" max="4" width="20" style="101" customWidth="1"/>
    <col min="5" max="5" width="14" style="101" customWidth="1"/>
    <col min="6" max="6" width="15" style="101" customWidth="1"/>
    <col min="7" max="7" width="14" style="101" customWidth="1"/>
    <col min="8" max="8" width="17.1796875" style="101" bestFit="1" customWidth="1"/>
    <col min="9" max="9" width="16" style="101" customWidth="1"/>
    <col min="10" max="10" width="2" style="101" customWidth="1"/>
    <col min="11" max="16384" width="8.7265625" style="101"/>
  </cols>
  <sheetData>
    <row r="2" spans="2:9" ht="20" x14ac:dyDescent="0.3">
      <c r="B2" s="221" t="s">
        <v>237</v>
      </c>
      <c r="C2" s="217"/>
      <c r="D2" s="217"/>
      <c r="E2" s="217"/>
      <c r="F2" s="217"/>
      <c r="G2" s="217"/>
      <c r="H2" s="222" t="s">
        <v>238</v>
      </c>
      <c r="I2" s="207"/>
    </row>
    <row r="3" spans="2:9" x14ac:dyDescent="0.3">
      <c r="B3" s="223" t="s">
        <v>239</v>
      </c>
      <c r="C3" s="217"/>
      <c r="D3" s="217"/>
      <c r="E3" s="217"/>
      <c r="F3" s="217"/>
      <c r="G3" s="217"/>
    </row>
    <row r="5" spans="2:9" ht="16" customHeight="1" x14ac:dyDescent="0.3">
      <c r="B5" s="224" t="s">
        <v>240</v>
      </c>
      <c r="C5" s="211"/>
      <c r="D5" s="103" t="s">
        <v>241</v>
      </c>
      <c r="E5" s="224" t="s">
        <v>242</v>
      </c>
      <c r="F5" s="211"/>
      <c r="G5" s="224" t="s">
        <v>243</v>
      </c>
      <c r="H5" s="211"/>
    </row>
    <row r="6" spans="2:9" ht="20" customHeight="1" x14ac:dyDescent="0.3">
      <c r="B6" s="225" t="s">
        <v>244</v>
      </c>
      <c r="C6" s="211"/>
      <c r="D6" s="104" t="s">
        <v>245</v>
      </c>
      <c r="E6" s="225" t="s">
        <v>246</v>
      </c>
      <c r="F6" s="211"/>
      <c r="G6" s="225" t="s">
        <v>247</v>
      </c>
      <c r="H6" s="211"/>
    </row>
    <row r="8" spans="2:9" ht="18" customHeight="1" x14ac:dyDescent="0.3">
      <c r="B8" s="226" t="s">
        <v>248</v>
      </c>
      <c r="C8" s="227"/>
      <c r="D8" s="105" t="s">
        <v>249</v>
      </c>
      <c r="E8" s="228" t="s">
        <v>250</v>
      </c>
      <c r="F8" s="227"/>
      <c r="G8" s="228" t="s">
        <v>251</v>
      </c>
      <c r="H8" s="227"/>
    </row>
    <row r="10" spans="2:9" x14ac:dyDescent="0.3">
      <c r="B10" s="106" t="s">
        <v>156</v>
      </c>
      <c r="C10" s="102" t="s">
        <v>252</v>
      </c>
      <c r="D10" s="106" t="s">
        <v>88</v>
      </c>
      <c r="E10" s="102" t="s">
        <v>253</v>
      </c>
      <c r="F10" s="102" t="s">
        <v>254</v>
      </c>
      <c r="G10" s="102" t="s">
        <v>134</v>
      </c>
      <c r="H10" s="102" t="s">
        <v>255</v>
      </c>
    </row>
    <row r="11" spans="2:9" ht="18" customHeight="1" x14ac:dyDescent="0.3">
      <c r="B11" s="107" t="s">
        <v>256</v>
      </c>
      <c r="C11" s="108" t="s">
        <v>257</v>
      </c>
      <c r="D11" s="107" t="s">
        <v>236</v>
      </c>
      <c r="E11" s="109" t="s">
        <v>139</v>
      </c>
      <c r="F11" s="110">
        <v>45200000</v>
      </c>
      <c r="G11" s="111" t="s">
        <v>259</v>
      </c>
      <c r="H11" s="112" t="s">
        <v>260</v>
      </c>
    </row>
    <row r="12" spans="2:9" ht="18" customHeight="1" x14ac:dyDescent="0.3">
      <c r="B12" s="107" t="s">
        <v>261</v>
      </c>
      <c r="C12" s="108" t="s">
        <v>262</v>
      </c>
      <c r="D12" s="107" t="s">
        <v>167</v>
      </c>
      <c r="E12" s="113" t="s">
        <v>233</v>
      </c>
      <c r="F12" s="110">
        <v>32000000</v>
      </c>
      <c r="G12" s="111" t="s">
        <v>259</v>
      </c>
      <c r="H12" s="112" t="s">
        <v>260</v>
      </c>
    </row>
    <row r="13" spans="2:9" ht="18" customHeight="1" x14ac:dyDescent="0.3">
      <c r="B13" s="107" t="s">
        <v>263</v>
      </c>
      <c r="C13" s="108" t="s">
        <v>264</v>
      </c>
      <c r="D13" s="107" t="s">
        <v>165</v>
      </c>
      <c r="E13" s="109" t="s">
        <v>139</v>
      </c>
      <c r="F13" s="110">
        <v>18300000</v>
      </c>
      <c r="G13" s="114" t="s">
        <v>265</v>
      </c>
      <c r="H13" s="115" t="s">
        <v>181</v>
      </c>
    </row>
    <row r="14" spans="2:9" ht="18" customHeight="1" x14ac:dyDescent="0.3">
      <c r="B14" s="107" t="s">
        <v>266</v>
      </c>
      <c r="C14" s="108" t="s">
        <v>267</v>
      </c>
      <c r="D14" s="107" t="s">
        <v>258</v>
      </c>
      <c r="E14" s="113" t="s">
        <v>233</v>
      </c>
      <c r="F14" s="110">
        <v>60000000</v>
      </c>
      <c r="G14" s="111" t="s">
        <v>259</v>
      </c>
      <c r="H14" s="112" t="s">
        <v>260</v>
      </c>
    </row>
    <row r="15" spans="2:9" ht="18" customHeight="1" x14ac:dyDescent="0.3">
      <c r="B15" s="107" t="s">
        <v>268</v>
      </c>
      <c r="C15" s="108" t="s">
        <v>269</v>
      </c>
      <c r="D15" s="126" t="s">
        <v>178</v>
      </c>
      <c r="E15" s="131" t="s">
        <v>233</v>
      </c>
      <c r="F15" s="110">
        <v>30000000</v>
      </c>
      <c r="G15" s="114" t="s">
        <v>265</v>
      </c>
      <c r="H15" s="115" t="s">
        <v>181</v>
      </c>
    </row>
    <row r="18" spans="2:2" x14ac:dyDescent="0.3">
      <c r="B18" s="116" t="s">
        <v>270</v>
      </c>
    </row>
  </sheetData>
  <mergeCells count="12">
    <mergeCell ref="B6:C6"/>
    <mergeCell ref="E6:F6"/>
    <mergeCell ref="G6:H6"/>
    <mergeCell ref="B8:C8"/>
    <mergeCell ref="E8:F8"/>
    <mergeCell ref="G8:H8"/>
    <mergeCell ref="B2:G2"/>
    <mergeCell ref="H2:I2"/>
    <mergeCell ref="B3:G3"/>
    <mergeCell ref="B5:C5"/>
    <mergeCell ref="E5:F5"/>
    <mergeCell ref="G5:H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32F4D-7569-40DC-A1E4-2522554B893A}">
  <sheetPr>
    <tabColor rgb="FFFFFF00"/>
  </sheetPr>
  <dimension ref="B2:D29"/>
  <sheetViews>
    <sheetView showGridLines="0" workbookViewId="0">
      <selection activeCell="D1" sqref="D1"/>
    </sheetView>
  </sheetViews>
  <sheetFormatPr defaultRowHeight="14" x14ac:dyDescent="0.3"/>
  <cols>
    <col min="1" max="1" width="2" style="101" customWidth="1"/>
    <col min="2" max="3" width="20" style="101" customWidth="1"/>
    <col min="4" max="4" width="21.6328125" style="101" bestFit="1" customWidth="1"/>
    <col min="5" max="5" width="2" style="101" customWidth="1"/>
    <col min="6" max="16384" width="8.7265625" style="101"/>
  </cols>
  <sheetData>
    <row r="2" spans="2:4" ht="20" x14ac:dyDescent="0.3">
      <c r="B2" s="221" t="s">
        <v>271</v>
      </c>
      <c r="C2" s="217"/>
      <c r="D2" s="217"/>
    </row>
    <row r="3" spans="2:4" x14ac:dyDescent="0.3">
      <c r="B3" s="230" t="s">
        <v>261</v>
      </c>
      <c r="C3" s="217"/>
      <c r="D3" s="113" t="s">
        <v>272</v>
      </c>
    </row>
    <row r="5" spans="2:4" x14ac:dyDescent="0.3">
      <c r="B5" s="231" t="s">
        <v>273</v>
      </c>
      <c r="C5" s="217"/>
      <c r="D5" s="217"/>
    </row>
    <row r="6" spans="2:4" x14ac:dyDescent="0.3">
      <c r="B6" s="232" t="s">
        <v>274</v>
      </c>
      <c r="C6" s="233"/>
      <c r="D6" s="122" t="s">
        <v>275</v>
      </c>
    </row>
    <row r="7" spans="2:4" x14ac:dyDescent="0.3">
      <c r="B7" s="232" t="s">
        <v>88</v>
      </c>
      <c r="C7" s="233"/>
      <c r="D7" s="122" t="s">
        <v>178</v>
      </c>
    </row>
    <row r="8" spans="2:4" x14ac:dyDescent="0.3">
      <c r="B8" s="232" t="s">
        <v>276</v>
      </c>
      <c r="C8" s="233"/>
      <c r="D8" s="122" t="s">
        <v>277</v>
      </c>
    </row>
    <row r="9" spans="2:4" x14ac:dyDescent="0.3">
      <c r="B9" s="232" t="s">
        <v>278</v>
      </c>
      <c r="C9" s="233"/>
      <c r="D9" s="122" t="s">
        <v>279</v>
      </c>
    </row>
    <row r="10" spans="2:4" x14ac:dyDescent="0.3">
      <c r="B10" s="232" t="s">
        <v>280</v>
      </c>
      <c r="C10" s="233"/>
      <c r="D10" s="122" t="s">
        <v>262</v>
      </c>
    </row>
    <row r="12" spans="2:4" ht="18" x14ac:dyDescent="0.3">
      <c r="B12" s="234" t="s">
        <v>281</v>
      </c>
      <c r="C12" s="217"/>
      <c r="D12" s="121">
        <v>30000000</v>
      </c>
    </row>
    <row r="14" spans="2:4" x14ac:dyDescent="0.3">
      <c r="B14" s="235" t="s">
        <v>282</v>
      </c>
      <c r="C14" s="217"/>
      <c r="D14" s="217"/>
    </row>
    <row r="15" spans="2:4" ht="18" customHeight="1" x14ac:dyDescent="0.3">
      <c r="B15" s="117" t="s">
        <v>283</v>
      </c>
      <c r="C15" s="229" t="s">
        <v>284</v>
      </c>
      <c r="D15" s="209"/>
    </row>
    <row r="16" spans="2:4" ht="18" customHeight="1" x14ac:dyDescent="0.3">
      <c r="B16" s="117" t="s">
        <v>285</v>
      </c>
      <c r="C16" s="229" t="s">
        <v>286</v>
      </c>
      <c r="D16" s="209"/>
    </row>
    <row r="17" spans="2:4" ht="18" customHeight="1" x14ac:dyDescent="0.3">
      <c r="B17" s="117" t="s">
        <v>287</v>
      </c>
      <c r="C17" s="236">
        <v>30000000</v>
      </c>
      <c r="D17" s="209"/>
    </row>
    <row r="18" spans="2:4" ht="18" customHeight="1" x14ac:dyDescent="0.3">
      <c r="B18" s="117" t="s">
        <v>288</v>
      </c>
      <c r="C18" s="229" t="s">
        <v>289</v>
      </c>
      <c r="D18" s="209"/>
    </row>
    <row r="19" spans="2:4" ht="18" customHeight="1" x14ac:dyDescent="0.3">
      <c r="B19" s="117" t="s">
        <v>290</v>
      </c>
      <c r="C19" s="229"/>
      <c r="D19" s="209"/>
    </row>
    <row r="21" spans="2:4" x14ac:dyDescent="0.3">
      <c r="B21" s="237" t="s">
        <v>291</v>
      </c>
      <c r="C21" s="238"/>
      <c r="D21" s="238"/>
    </row>
    <row r="22" spans="2:4" x14ac:dyDescent="0.3">
      <c r="B22" s="239" t="s">
        <v>292</v>
      </c>
      <c r="C22" s="238"/>
      <c r="D22" s="118">
        <f>C17</f>
        <v>30000000</v>
      </c>
    </row>
    <row r="23" spans="2:4" x14ac:dyDescent="0.3">
      <c r="B23" s="239" t="s">
        <v>304</v>
      </c>
      <c r="C23" s="238"/>
      <c r="D23" s="118">
        <f>C17</f>
        <v>30000000</v>
      </c>
    </row>
    <row r="24" spans="2:4" x14ac:dyDescent="0.3">
      <c r="B24" s="116" t="s">
        <v>293</v>
      </c>
    </row>
    <row r="26" spans="2:4" ht="20" customHeight="1" x14ac:dyDescent="0.3">
      <c r="B26" s="119" t="s">
        <v>294</v>
      </c>
      <c r="C26" s="222" t="s">
        <v>295</v>
      </c>
      <c r="D26" s="207"/>
    </row>
    <row r="29" spans="2:4" x14ac:dyDescent="0.3">
      <c r="B29" s="116" t="s">
        <v>296</v>
      </c>
    </row>
  </sheetData>
  <mergeCells count="19">
    <mergeCell ref="C26:D26"/>
    <mergeCell ref="C17:D17"/>
    <mergeCell ref="C18:D18"/>
    <mergeCell ref="C19:D19"/>
    <mergeCell ref="B21:D21"/>
    <mergeCell ref="B22:C22"/>
    <mergeCell ref="B23:C23"/>
    <mergeCell ref="C16:D16"/>
    <mergeCell ref="B2:D2"/>
    <mergeCell ref="B3:C3"/>
    <mergeCell ref="B5:D5"/>
    <mergeCell ref="B6:C6"/>
    <mergeCell ref="B7:C7"/>
    <mergeCell ref="B8:C8"/>
    <mergeCell ref="B9:C9"/>
    <mergeCell ref="B10:C10"/>
    <mergeCell ref="B12:C12"/>
    <mergeCell ref="B14:D14"/>
    <mergeCell ref="C15:D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1415-660A-4869-8FFC-6C52C1D226C9}">
  <sheetPr>
    <tabColor rgb="FFFFFF00"/>
  </sheetPr>
  <dimension ref="B2:D29"/>
  <sheetViews>
    <sheetView showGridLines="0" workbookViewId="0">
      <selection activeCell="C13" sqref="C13"/>
    </sheetView>
  </sheetViews>
  <sheetFormatPr defaultRowHeight="14" x14ac:dyDescent="0.3"/>
  <cols>
    <col min="1" max="1" width="2" style="101" customWidth="1"/>
    <col min="2" max="3" width="20" style="101" customWidth="1"/>
    <col min="4" max="4" width="29.54296875" style="101" bestFit="1" customWidth="1"/>
    <col min="5" max="5" width="2" style="101" customWidth="1"/>
    <col min="6" max="16384" width="8.7265625" style="101"/>
  </cols>
  <sheetData>
    <row r="2" spans="2:4" ht="20" x14ac:dyDescent="0.3">
      <c r="B2" s="221" t="s">
        <v>271</v>
      </c>
      <c r="C2" s="217"/>
      <c r="D2" s="217"/>
    </row>
    <row r="3" spans="2:4" x14ac:dyDescent="0.3">
      <c r="B3" s="230" t="s">
        <v>256</v>
      </c>
      <c r="C3" s="217"/>
      <c r="D3" s="109" t="s">
        <v>297</v>
      </c>
    </row>
    <row r="5" spans="2:4" x14ac:dyDescent="0.3">
      <c r="B5" s="231" t="s">
        <v>273</v>
      </c>
      <c r="C5" s="217"/>
      <c r="D5" s="217"/>
    </row>
    <row r="6" spans="2:4" x14ac:dyDescent="0.3">
      <c r="B6" s="232" t="s">
        <v>274</v>
      </c>
      <c r="C6" s="233"/>
      <c r="D6" s="122" t="s">
        <v>298</v>
      </c>
    </row>
    <row r="7" spans="2:4" x14ac:dyDescent="0.3">
      <c r="B7" s="232" t="s">
        <v>88</v>
      </c>
      <c r="C7" s="233"/>
      <c r="D7" s="122" t="s">
        <v>236</v>
      </c>
    </row>
    <row r="8" spans="2:4" x14ac:dyDescent="0.3">
      <c r="B8" s="232" t="s">
        <v>299</v>
      </c>
      <c r="C8" s="233"/>
      <c r="D8" s="122" t="s">
        <v>300</v>
      </c>
    </row>
    <row r="9" spans="2:4" x14ac:dyDescent="0.3">
      <c r="B9" s="232" t="s">
        <v>278</v>
      </c>
      <c r="C9" s="233"/>
      <c r="D9" s="122" t="s">
        <v>301</v>
      </c>
    </row>
    <row r="10" spans="2:4" x14ac:dyDescent="0.3">
      <c r="B10" s="232" t="s">
        <v>280</v>
      </c>
      <c r="C10" s="233"/>
      <c r="D10" s="122" t="s">
        <v>257</v>
      </c>
    </row>
    <row r="12" spans="2:4" ht="18" x14ac:dyDescent="0.3">
      <c r="B12" s="234" t="s">
        <v>281</v>
      </c>
      <c r="C12" s="217"/>
      <c r="D12" s="121">
        <v>45200000</v>
      </c>
    </row>
    <row r="14" spans="2:4" x14ac:dyDescent="0.3">
      <c r="B14" s="231" t="s">
        <v>282</v>
      </c>
      <c r="C14" s="217"/>
      <c r="D14" s="217"/>
    </row>
    <row r="15" spans="2:4" ht="18" customHeight="1" x14ac:dyDescent="0.3">
      <c r="B15" s="117" t="s">
        <v>283</v>
      </c>
      <c r="C15" s="229" t="s">
        <v>284</v>
      </c>
      <c r="D15" s="209"/>
    </row>
    <row r="16" spans="2:4" ht="18" customHeight="1" x14ac:dyDescent="0.3">
      <c r="B16" s="117" t="s">
        <v>285</v>
      </c>
      <c r="C16" s="229" t="s">
        <v>286</v>
      </c>
      <c r="D16" s="209"/>
    </row>
    <row r="17" spans="2:4" ht="18" customHeight="1" x14ac:dyDescent="0.3">
      <c r="B17" s="117" t="s">
        <v>287</v>
      </c>
      <c r="C17" s="229" t="s">
        <v>302</v>
      </c>
      <c r="D17" s="209"/>
    </row>
    <row r="18" spans="2:4" ht="18" customHeight="1" x14ac:dyDescent="0.3">
      <c r="B18" s="117" t="s">
        <v>288</v>
      </c>
      <c r="C18" s="229" t="s">
        <v>289</v>
      </c>
      <c r="D18" s="209"/>
    </row>
    <row r="19" spans="2:4" ht="18" customHeight="1" x14ac:dyDescent="0.3">
      <c r="B19" s="117" t="s">
        <v>290</v>
      </c>
      <c r="C19" s="229"/>
      <c r="D19" s="209"/>
    </row>
    <row r="21" spans="2:4" x14ac:dyDescent="0.3">
      <c r="B21" s="240" t="s">
        <v>291</v>
      </c>
      <c r="C21" s="241"/>
      <c r="D21" s="241"/>
    </row>
    <row r="22" spans="2:4" x14ac:dyDescent="0.3">
      <c r="B22" s="242" t="s">
        <v>292</v>
      </c>
      <c r="C22" s="241"/>
      <c r="D22" s="120">
        <v>45200000</v>
      </c>
    </row>
    <row r="23" spans="2:4" x14ac:dyDescent="0.3">
      <c r="B23" s="242" t="s">
        <v>304</v>
      </c>
      <c r="C23" s="241"/>
      <c r="D23" s="120">
        <v>45200000</v>
      </c>
    </row>
    <row r="24" spans="2:4" x14ac:dyDescent="0.3">
      <c r="B24" s="116" t="s">
        <v>303</v>
      </c>
    </row>
    <row r="26" spans="2:4" ht="20" customHeight="1" x14ac:dyDescent="0.3">
      <c r="B26" s="119" t="s">
        <v>294</v>
      </c>
      <c r="C26" s="222" t="s">
        <v>295</v>
      </c>
      <c r="D26" s="207"/>
    </row>
    <row r="29" spans="2:4" x14ac:dyDescent="0.3">
      <c r="B29" s="116" t="s">
        <v>296</v>
      </c>
    </row>
  </sheetData>
  <mergeCells count="19">
    <mergeCell ref="C26:D26"/>
    <mergeCell ref="C17:D17"/>
    <mergeCell ref="C18:D18"/>
    <mergeCell ref="C19:D19"/>
    <mergeCell ref="B21:D21"/>
    <mergeCell ref="B22:C22"/>
    <mergeCell ref="B23:C23"/>
    <mergeCell ref="C16:D16"/>
    <mergeCell ref="B2:D2"/>
    <mergeCell ref="B3:C3"/>
    <mergeCell ref="B5:D5"/>
    <mergeCell ref="B6:C6"/>
    <mergeCell ref="B7:C7"/>
    <mergeCell ref="B8:C8"/>
    <mergeCell ref="B9:C9"/>
    <mergeCell ref="B10:C10"/>
    <mergeCell ref="B12:C12"/>
    <mergeCell ref="B14:D14"/>
    <mergeCell ref="C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Flow</vt:lpstr>
      <vt:lpstr>Case HFG</vt:lpstr>
      <vt:lpstr>Simulasi Claim Kombinasi jalur</vt:lpstr>
      <vt:lpstr>Tampungan Hold</vt:lpstr>
      <vt:lpstr>Saat Claim dari Produksi</vt:lpstr>
      <vt:lpstr>Konsep&amp;Sim Modul Claim</vt:lpstr>
      <vt:lpstr>Konsep&amp;Sim Debit Note</vt:lpstr>
      <vt:lpstr>Konsep&amp;Sim SJ Retur</vt:lpstr>
      <vt:lpstr>Konsep&amp;Sim Bayar PO with DN</vt:lpstr>
      <vt:lpstr>Konsep&amp;Sim Tagihan DN Langsung</vt:lpstr>
      <vt:lpstr>Header - List Penerimaan</vt:lpstr>
      <vt:lpstr>Detail-Penerimaan Retur</vt:lpstr>
      <vt:lpstr>Detail-Penerimaan Kompensasi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Dan</dc:creator>
  <cp:lastModifiedBy>Rama Dan</cp:lastModifiedBy>
  <dcterms:created xsi:type="dcterms:W3CDTF">2026-06-24T09:15:55Z</dcterms:created>
  <dcterms:modified xsi:type="dcterms:W3CDTF">2026-10-26T07:35:50Z</dcterms:modified>
</cp:coreProperties>
</file>