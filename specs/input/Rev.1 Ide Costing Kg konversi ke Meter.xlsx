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si\Documents\SS baru\Improvement\Project\4. PT HFG dan HSJ\3. Mock Up\Product Costing\Bahan\"/>
    </mc:Choice>
  </mc:AlternateContent>
  <xr:revisionPtr revIDLastSave="0" documentId="13_ncr:1_{4B944087-7EF3-4954-899B-A57FF9444A2B}" xr6:coauthVersionLast="47" xr6:coauthVersionMax="47" xr10:uidLastSave="{00000000-0000-0000-0000-000000000000}"/>
  <bookViews>
    <workbookView xWindow="-110" yWindow="-110" windowWidth="19420" windowHeight="11020" firstSheet="2" activeTab="2" xr2:uid="{C1199284-74CA-40E8-A452-060CACED6F27}"/>
  </bookViews>
  <sheets>
    <sheet name="Ide" sheetId="1" state="hidden" r:id="rId1"/>
    <sheet name="Simulasi ide (copy)per kg" sheetId="3" state="hidden" r:id="rId2"/>
    <sheet name="Simulasi Program" sheetId="9" r:id="rId3"/>
    <sheet name="Simulasi Costing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8" l="1"/>
  <c r="D4" i="8"/>
  <c r="C5" i="8"/>
  <c r="C4" i="8"/>
  <c r="B4" i="8"/>
  <c r="E38" i="9"/>
  <c r="E37" i="9"/>
  <c r="E29" i="9"/>
  <c r="E28" i="9"/>
  <c r="E18" i="9"/>
  <c r="E17" i="9"/>
  <c r="AN5" i="8"/>
  <c r="AK5" i="8"/>
  <c r="AJ5" i="8"/>
  <c r="AI5" i="8"/>
  <c r="AH5" i="8"/>
  <c r="AL5" i="8"/>
  <c r="AL4" i="8"/>
  <c r="AK4" i="8"/>
  <c r="AJ4" i="8"/>
  <c r="AI4" i="8"/>
  <c r="AH4" i="8"/>
  <c r="AG5" i="8"/>
  <c r="AG4" i="8"/>
  <c r="AE5" i="8"/>
  <c r="AE4" i="8"/>
  <c r="AD5" i="8"/>
  <c r="AD4" i="8"/>
  <c r="X5" i="8"/>
  <c r="X4" i="8"/>
  <c r="V5" i="8" l="1"/>
  <c r="U5" i="8"/>
  <c r="T5" i="8"/>
  <c r="S5" i="8"/>
  <c r="R5" i="8"/>
  <c r="Q5" i="8"/>
  <c r="Q4" i="8"/>
  <c r="V4" i="8"/>
  <c r="U4" i="8"/>
  <c r="T4" i="8"/>
  <c r="S4" i="8"/>
  <c r="R4" i="8"/>
  <c r="M5" i="8"/>
  <c r="M4" i="8"/>
  <c r="L5" i="8"/>
  <c r="L4" i="8"/>
  <c r="K5" i="8"/>
  <c r="K4" i="8"/>
  <c r="C87" i="9"/>
  <c r="H5" i="8"/>
  <c r="H4" i="8"/>
  <c r="G5" i="8"/>
  <c r="G4" i="8"/>
  <c r="F5" i="8"/>
  <c r="F4" i="8"/>
  <c r="J29" i="9"/>
  <c r="J28" i="9"/>
  <c r="M18" i="9"/>
  <c r="G29" i="9" s="1"/>
  <c r="M17" i="9"/>
  <c r="G28" i="9" s="1"/>
  <c r="L18" i="9"/>
  <c r="F29" i="9" s="1"/>
  <c r="I29" i="9" s="1"/>
  <c r="E5" i="8" s="1"/>
  <c r="L17" i="9"/>
  <c r="F28" i="9" s="1"/>
  <c r="I28" i="9" s="1"/>
  <c r="E4" i="8" s="1"/>
  <c r="D78" i="9"/>
  <c r="D71" i="9"/>
  <c r="D64" i="9"/>
  <c r="R46" i="9"/>
  <c r="T45" i="9" s="1"/>
  <c r="T46" i="9" s="1"/>
  <c r="D80" i="9" l="1"/>
  <c r="D81" i="9" s="1"/>
  <c r="D83" i="9" s="1"/>
  <c r="G44" i="9"/>
  <c r="I44" i="9" s="1"/>
  <c r="T47" i="9"/>
  <c r="D38" i="9" l="1"/>
  <c r="D37" i="9"/>
  <c r="F38" i="9"/>
  <c r="F37" i="9"/>
  <c r="Z5" i="8"/>
  <c r="Z4" i="8"/>
  <c r="I109" i="3" l="1"/>
  <c r="I108" i="3"/>
  <c r="I107" i="3"/>
  <c r="I106" i="3"/>
  <c r="I105" i="3"/>
  <c r="H109" i="3"/>
  <c r="H108" i="3"/>
  <c r="H107" i="3"/>
  <c r="H106" i="3"/>
  <c r="H105" i="3"/>
  <c r="G109" i="3"/>
  <c r="G108" i="3"/>
  <c r="G107" i="3"/>
  <c r="G106" i="3"/>
  <c r="G105" i="3"/>
  <c r="E78" i="3"/>
  <c r="D109" i="3" s="1"/>
  <c r="C73" i="3"/>
  <c r="C102" i="3" s="1"/>
  <c r="F67" i="3"/>
  <c r="G67" i="3" s="1"/>
  <c r="F66" i="3"/>
  <c r="G66" i="3" s="1"/>
  <c r="F65" i="3"/>
  <c r="G65" i="3" s="1"/>
  <c r="I60" i="3"/>
  <c r="K60" i="3" s="1"/>
  <c r="I59" i="3"/>
  <c r="K59" i="3" s="1"/>
  <c r="I58" i="3"/>
  <c r="K58" i="3" s="1"/>
  <c r="D78" i="3" s="1"/>
  <c r="H49" i="3"/>
  <c r="H45" i="3"/>
  <c r="H47" i="3" s="1"/>
  <c r="AC5" i="8" l="1"/>
  <c r="AA5" i="8"/>
  <c r="P5" i="8"/>
  <c r="AF5" i="8" s="1"/>
  <c r="AB5" i="8"/>
  <c r="AM5" i="8" s="1"/>
  <c r="AO5" i="8" s="1"/>
  <c r="AR5" i="8" s="1"/>
  <c r="AB4" i="8"/>
  <c r="AA4" i="8"/>
  <c r="P4" i="8"/>
  <c r="AF4" i="8" s="1"/>
  <c r="AC4" i="8"/>
  <c r="AM4" i="8" s="1"/>
  <c r="I5" i="8"/>
  <c r="J5" i="8" s="1"/>
  <c r="I4" i="8"/>
  <c r="J4" i="8" s="1"/>
  <c r="I81" i="3"/>
  <c r="H50" i="3"/>
  <c r="I82" i="3"/>
  <c r="G78" i="3"/>
  <c r="I78" i="3" s="1"/>
  <c r="D108" i="3"/>
  <c r="I80" i="3"/>
  <c r="J80" i="3" s="1"/>
  <c r="G84" i="3"/>
  <c r="I84" i="3" s="1"/>
  <c r="G86" i="3"/>
  <c r="I86" i="3" s="1"/>
  <c r="D107" i="3"/>
  <c r="D106" i="3"/>
  <c r="D105" i="3"/>
  <c r="AN4" i="8" l="1"/>
  <c r="AO4" i="8" s="1"/>
  <c r="AR4" i="8" s="1"/>
  <c r="O4" i="8"/>
  <c r="N4" i="8"/>
  <c r="N5" i="8"/>
  <c r="O5" i="8"/>
  <c r="G85" i="3"/>
  <c r="I85" i="3" s="1"/>
  <c r="J84" i="3"/>
  <c r="G93" i="3"/>
  <c r="W4" i="8" l="1"/>
  <c r="W5" i="8"/>
  <c r="G95" i="3"/>
  <c r="I93" i="3"/>
  <c r="K93" i="3" s="1"/>
  <c r="G96" i="3"/>
  <c r="I96" i="3" s="1"/>
  <c r="Y5" i="8" l="1"/>
  <c r="AQ5" i="8" s="1"/>
  <c r="Y4" i="8"/>
  <c r="AQ4" i="8" s="1"/>
  <c r="I95" i="3"/>
  <c r="G97" i="3"/>
  <c r="I97" i="3" l="1"/>
  <c r="E106" i="3"/>
  <c r="F106" i="3" s="1"/>
  <c r="E108" i="3"/>
  <c r="F108" i="3" s="1"/>
  <c r="E109" i="3"/>
  <c r="F109" i="3" s="1"/>
  <c r="E105" i="3"/>
  <c r="F105" i="3" s="1"/>
  <c r="E107" i="3"/>
  <c r="F107" i="3" s="1"/>
  <c r="D39" i="1" l="1"/>
  <c r="D41" i="1"/>
  <c r="D37" i="1"/>
</calcChain>
</file>

<file path=xl/sharedStrings.xml><?xml version="1.0" encoding="utf-8"?>
<sst xmlns="http://schemas.openxmlformats.org/spreadsheetml/2006/main" count="460" uniqueCount="305">
  <si>
    <t>Ide Improvement</t>
  </si>
  <si>
    <t>Berat produk spandek dihitung dari ketebalan coil (BMT – Base Metal Thickness) menggunakan rumus dasar density baja, ditambah faktor koreksi karena profil gelombang (corrugation) menambah luas material dibanding lebar efektif terpasang.</t>
  </si>
  <si>
    <t>Rumus Dasar</t>
  </si>
  <si>
    <t>Berat (kg/m²) = Ketebalan (mm) × Density Baja (7,85) × Faktor Profil</t>
  </si>
  <si>
    <r>
      <t>Density baja</t>
    </r>
    <r>
      <rPr>
        <sz val="11"/>
        <color theme="1"/>
        <rFont val="Calibri"/>
        <family val="2"/>
        <charset val="1"/>
        <scheme val="minor"/>
      </rPr>
      <t xml:space="preserve"> = 7,85 gram/cm³ (standar untuk baja lapis/galvalume)</t>
    </r>
  </si>
  <si>
    <r>
      <t>Faktor profil</t>
    </r>
    <r>
      <rPr>
        <sz val="11"/>
        <color theme="1"/>
        <rFont val="Calibri"/>
        <family val="2"/>
        <charset val="1"/>
        <scheme val="minor"/>
      </rPr>
      <t xml:space="preserve"> = koreksi karena gelombang spandek butuh material lebih panjang dari lebar efektifnya — biasanya </t>
    </r>
    <r>
      <rPr>
        <b/>
        <sz val="11"/>
        <color theme="1"/>
        <rFont val="Calibri"/>
        <family val="2"/>
        <charset val="1"/>
        <scheme val="minor"/>
      </rPr>
      <t>1,00–1,05</t>
    </r>
    <r>
      <rPr>
        <sz val="11"/>
        <color theme="1"/>
        <rFont val="Calibri"/>
        <family val="2"/>
        <charset val="1"/>
        <scheme val="minor"/>
      </rPr>
      <t xml:space="preserve"> tergantung tinggi gelombang/jenis profil (spandek reguler vs. spandek tebal/heavy profile beda faktornya)</t>
    </r>
  </si>
  <si>
    <t>Tabel Referensi Umum (per m², faktor profil ≈ 1,0 - estimasi standar pasar)</t>
  </si>
  <si>
    <t>Ketebalan/BMT (mm)</t>
  </si>
  <si>
    <t>Berat per m² (kg)</t>
  </si>
  <si>
    <t>Alur Konversi Kg → Meter</t>
  </si>
  <si>
    <t>Langkah 1: Berat per m² (kg/m²)  →  dari tabel ketebalan yang sudah kita bahas</t>
  </si>
  <si>
    <t>Langkah 2: Berat per Meter Lari (kg/m) = Berat per m² × Lebar Efektif (m)</t>
  </si>
  <si>
    <t>Langkah 3: Biaya Material per Meter (Rp/m) = Berat per Meter Lari (kg/m) × Harga Coil (Rp/kg)</t>
  </si>
  <si>
    <t>Contoh Lanjutan dari Perhitungan Sebelumnya</t>
  </si>
  <si>
    <t>Parameter</t>
  </si>
  <si>
    <t>Nilai</t>
  </si>
  <si>
    <t>Berat per m²</t>
  </si>
  <si>
    <t>Lebar Efektif</t>
  </si>
  <si>
    <t>Berat per Meter Lari</t>
  </si>
  <si>
    <t>Harga Coil</t>
  </si>
  <si>
    <t>Biaya Material per Meter</t>
  </si>
  <si>
    <t>0.30 mm</t>
  </si>
  <si>
    <t>2.36 kg/m²</t>
  </si>
  <si>
    <t>1.015 m</t>
  </si>
  <si>
    <t>2.36 × 1.015 = 2.395 kg/m</t>
  </si>
  <si>
    <t>Rp16,936.94/kg</t>
  </si>
  <si>
    <t>2.395 × 16,936.94 ≈ Rp40,564/meter</t>
  </si>
  <si>
    <t>Note :Kenapa harus lewat "berat per meter lari" dulu, bukan langsung konversi harga?
Karena yang dijual per meter itu 1 meter panjang, dengan lebar tetap sesuai profil (bukan 1 meter persegi). Jadi konversinya murni fisik (berat material yang terpakai untuk 1 meter panjang), baru dikalikan harga per kg.</t>
  </si>
  <si>
    <t>Validasi</t>
  </si>
  <si>
    <t>BMT (Base Material Thickness)</t>
  </si>
  <si>
    <t>Satuan</t>
  </si>
  <si>
    <t>mm</t>
  </si>
  <si>
    <t>kg/m2</t>
  </si>
  <si>
    <t>m</t>
  </si>
  <si>
    <t>kg/m</t>
  </si>
  <si>
    <t>Rp/Kg</t>
  </si>
  <si>
    <t>Rp/m</t>
  </si>
  <si>
    <t>--&gt; selisih karena desimal</t>
  </si>
  <si>
    <t>Level 1 :</t>
  </si>
  <si>
    <t>1. Master Product</t>
  </si>
  <si>
    <t>Atap</t>
  </si>
  <si>
    <t>Level 2 :</t>
  </si>
  <si>
    <t>Level 3 :</t>
  </si>
  <si>
    <t>Spandek</t>
  </si>
  <si>
    <t>Mini Polos</t>
  </si>
  <si>
    <t>Level 4 :</t>
  </si>
  <si>
    <t>SPANDEK POLOS MINI ECO 0.25 X 750</t>
  </si>
  <si>
    <t>Panjang :</t>
  </si>
  <si>
    <t>Meter</t>
  </si>
  <si>
    <t>Tebal :</t>
  </si>
  <si>
    <t>Berat/unit :</t>
  </si>
  <si>
    <t>Kg</t>
  </si>
  <si>
    <t>Lebar :</t>
  </si>
  <si>
    <t>2. BOM Material</t>
  </si>
  <si>
    <t>Produk :</t>
  </si>
  <si>
    <t>SPANDEK POLOS MINI ECO 0.25 X 750 X 6 M</t>
  </si>
  <si>
    <t>Material yang bisa dipakai:</t>
  </si>
  <si>
    <t>Kesimpulan :</t>
  </si>
  <si>
    <t>1 Produk bisa menggunakan beberapa varian material</t>
  </si>
  <si>
    <t>Note :</t>
  </si>
  <si>
    <t>BOM sudah menggunakaan tebal material saat ini yaitu 0,14mm --&gt; sebelumnya bisa pakai tebal 0.15 atau &gt;0.15</t>
  </si>
  <si>
    <t>3. Berat Masing-masing material</t>
  </si>
  <si>
    <t>GALVALUM MOTHER BORON 0.15-1219-AZ70-G550-</t>
  </si>
  <si>
    <t>roll</t>
  </si>
  <si>
    <t>Berat :</t>
  </si>
  <si>
    <t>Jumlah Slit :</t>
  </si>
  <si>
    <t>Lebar slit :</t>
  </si>
  <si>
    <t>Berat/meter 1 roll :</t>
  </si>
  <si>
    <t>Total berat mother coil :</t>
  </si>
  <si>
    <t>Standard berat/meter mother coil :</t>
  </si>
  <si>
    <t>Selisih :</t>
  </si>
  <si>
    <t>GALVALUM MOTHER BORON 0.14-1219-AZ70-G550-</t>
  </si>
  <si>
    <t>toleransi : +-5Kg --&gt; masih masuk toleransi</t>
  </si>
  <si>
    <t>Contoh cara baca :</t>
  </si>
  <si>
    <t>Aktual Material Spandek :</t>
  </si>
  <si>
    <t>Contoh kasus roll slit</t>
  </si>
  <si>
    <t>Lebar</t>
  </si>
  <si>
    <t>Tebal</t>
  </si>
  <si>
    <t>Berat/meter</t>
  </si>
  <si>
    <t>Berat/Roll Mother coil</t>
  </si>
  <si>
    <t>Aktual berat/meter</t>
  </si>
  <si>
    <t>Selisih</t>
  </si>
  <si>
    <t>Cek saja</t>
  </si>
  <si>
    <t>4. Proses Costing per Kg</t>
  </si>
  <si>
    <t>Data yang dibutuhkan untuk Konversi Costing Kg ke Pricelist Meter</t>
  </si>
  <si>
    <t>No</t>
  </si>
  <si>
    <t>Element Costing</t>
  </si>
  <si>
    <t>Reference (Rp/Kg)</t>
  </si>
  <si>
    <t>Material</t>
  </si>
  <si>
    <t>Varian BOM :</t>
  </si>
  <si>
    <t>usd/kg</t>
  </si>
  <si>
    <t>Kurs</t>
  </si>
  <si>
    <t>Berat/Meter</t>
  </si>
  <si>
    <t>Biaya Proses :</t>
  </si>
  <si>
    <t>3.2 Scrap</t>
  </si>
  <si>
    <t>3.3 Biaya Koordinasi</t>
  </si>
  <si>
    <t>HPP</t>
  </si>
  <si>
    <t>Other Cost</t>
  </si>
  <si>
    <t>Sales, Marketing</t>
  </si>
  <si>
    <t>Transport</t>
  </si>
  <si>
    <t>Finance, Admin</t>
  </si>
  <si>
    <t>Management Fee</t>
  </si>
  <si>
    <t>Interest</t>
  </si>
  <si>
    <t>Profit</t>
  </si>
  <si>
    <t>Selling Price</t>
  </si>
  <si>
    <t>Bottom Price</t>
  </si>
  <si>
    <t>Negotiation Allowance (Extra Margin)</t>
  </si>
  <si>
    <t>Price List</t>
  </si>
  <si>
    <t>Manufacturing Support :</t>
  </si>
  <si>
    <t>Rate Cost</t>
  </si>
  <si>
    <t>% dari material cost</t>
  </si>
  <si>
    <t xml:space="preserve">(Contoh saja) </t>
  </si>
  <si>
    <t>pertanyaan :</t>
  </si>
  <si>
    <t>Cycletime harus per meter?</t>
  </si>
  <si>
    <t>%HPP</t>
  </si>
  <si>
    <t>HPP + Other Cost</t>
  </si>
  <si>
    <t>% x Bottom Price
(Margin Sales)</t>
  </si>
  <si>
    <t>Bottom Price (11) + Negotiation Allowance (12)</t>
  </si>
  <si>
    <t>Varian Ukuran (meter)</t>
  </si>
  <si>
    <t>Standard Berat/Meter</t>
  </si>
  <si>
    <t>5. Pricelist per Ukuran Panjang</t>
  </si>
  <si>
    <t>(Varian BOM dengan tebal 0.14)</t>
  </si>
  <si>
    <t>--&gt; Tebal tidak perlu di master produk, nanti cukup di BOM nya saja ada varian tebal</t>
  </si>
  <si>
    <t>--&gt; Lebar tetap dari Master Product, karena setiap lebar bisa memilki ketebalan yang berbeda</t>
  </si>
  <si>
    <t>Detil Info dari Kontrak Supplier Material</t>
  </si>
  <si>
    <t>--&gt; Tidak perlu ada ukuran per unit. Diganti menjadi Berat per Meter</t>
  </si>
  <si>
    <t>Master Produk</t>
  </si>
  <si>
    <t>Rp/Meter</t>
  </si>
  <si>
    <t>Keterangan</t>
  </si>
  <si>
    <t>Cost</t>
  </si>
  <si>
    <t>Kg/Meter</t>
  </si>
  <si>
    <t>2.1 Man Power (Menit/Meter)*Man Power Rate (Rp/menit)</t>
  </si>
  <si>
    <t>2.2 Bahan Pendukung Khusus (Rp/Meter)</t>
  </si>
  <si>
    <t>2.3 FOH (Rp/Meter)</t>
  </si>
  <si>
    <t>3.1 Consumables (Rp/Meter)</t>
  </si>
  <si>
    <t>3.2 Scrap (Rp/Meter)</t>
  </si>
  <si>
    <t>3.3 Biaya Koordinasi (Rp/Meter)</t>
  </si>
  <si>
    <t>Beli material</t>
  </si>
  <si>
    <t>1 ton</t>
  </si>
  <si>
    <t>1 Meter :</t>
  </si>
  <si>
    <t>Pricelist (Produk)</t>
  </si>
  <si>
    <t>Pricelist/
Meter</t>
  </si>
  <si>
    <t>Pricelist/
Kg</t>
  </si>
  <si>
    <t>Total Berat Produk</t>
  </si>
  <si>
    <t>Price Reference
(USD/Kg)</t>
  </si>
  <si>
    <t>BOM Material
(Varian Tebal)</t>
  </si>
  <si>
    <t>Update Kurs</t>
  </si>
  <si>
    <t>Price Reference
(Rp/Kg)</t>
  </si>
  <si>
    <t>(Referensi Harga pembelian dari kontrak supplier)</t>
  </si>
  <si>
    <t>Price Reference
(Rp/Mtr)</t>
  </si>
  <si>
    <t>Material Cost</t>
  </si>
  <si>
    <t>Man Power Cost</t>
  </si>
  <si>
    <t>Bahan Pendukung Khusus</t>
  </si>
  <si>
    <t>FOH</t>
  </si>
  <si>
    <t>Consumables
(5% Material Cost)</t>
  </si>
  <si>
    <t>Scrap
(2% Material Cost)</t>
  </si>
  <si>
    <t>Biaya Koordinasi
(Rp200/Kg)</t>
  </si>
  <si>
    <t>Other Cost
(Profit 5% dari HPP)</t>
  </si>
  <si>
    <t>Negotiation Allowance (5% dari Bottom Price)</t>
  </si>
  <si>
    <t>Rupiah/Meter</t>
  </si>
  <si>
    <t>Rupiah/Kg</t>
  </si>
  <si>
    <t>1. Simulasi</t>
  </si>
  <si>
    <t>Price List/Meter</t>
  </si>
  <si>
    <t>Price List/Kg</t>
  </si>
  <si>
    <t>Ukuran Produk (Meter)</t>
  </si>
  <si>
    <t>Pricelist Produk/Meter</t>
  </si>
  <si>
    <t>Pricelist Produk/Kg</t>
  </si>
  <si>
    <t>Pricelist (Catalog)</t>
  </si>
  <si>
    <t>Simulasi Program</t>
  </si>
  <si>
    <t>Product Type</t>
  </si>
  <si>
    <t>Product Category</t>
  </si>
  <si>
    <t>Product Jenis</t>
  </si>
  <si>
    <t>Product Master</t>
  </si>
  <si>
    <t>Panjang</t>
  </si>
  <si>
    <t>2. Master Material</t>
  </si>
  <si>
    <t>Metal Type</t>
  </si>
  <si>
    <t>Slitted/Non Slit</t>
  </si>
  <si>
    <t>Boron/Non Boron</t>
  </si>
  <si>
    <t>Material Name</t>
  </si>
  <si>
    <t>Width</t>
  </si>
  <si>
    <t>Thickness</t>
  </si>
  <si>
    <t>--&gt; Berat/Meter perlu ditambahkan di Master</t>
  </si>
  <si>
    <t>Galvalum</t>
  </si>
  <si>
    <t>Mother</t>
  </si>
  <si>
    <t>Boron</t>
  </si>
  <si>
    <t>3. BOM Produk (dibedakan menjadi beberapa varian tebal)</t>
  </si>
  <si>
    <t>HARAPAN SPANDEK POLOS ECO 0.25 X 6 M</t>
  </si>
  <si>
    <t>Polos</t>
  </si>
  <si>
    <r>
      <t xml:space="preserve">1. Master Produk </t>
    </r>
    <r>
      <rPr>
        <b/>
        <sz val="11"/>
        <color rgb="FFFF0000"/>
        <rFont val="Calibri"/>
        <family val="2"/>
        <scheme val="minor"/>
      </rPr>
      <t>(List Produk untuk Product Catalog)</t>
    </r>
  </si>
  <si>
    <t>Base Material</t>
  </si>
  <si>
    <t>Type 001.1</t>
  </si>
  <si>
    <t>Type 001.2</t>
  </si>
  <si>
    <t>Base Product</t>
  </si>
  <si>
    <t>ADD BOM</t>
  </si>
  <si>
    <t>Varian Thickness</t>
  </si>
  <si>
    <t>Latest Update</t>
  </si>
  <si>
    <t>Update by</t>
  </si>
  <si>
    <t>Engineering</t>
  </si>
  <si>
    <t>Action</t>
  </si>
  <si>
    <t>View</t>
  </si>
  <si>
    <t>Edit</t>
  </si>
  <si>
    <t>Delete</t>
  </si>
  <si>
    <t>No. Uniq ID</t>
  </si>
  <si>
    <t>Costcentre/Area</t>
  </si>
  <si>
    <t>Spandek Area</t>
  </si>
  <si>
    <t>Process Name</t>
  </si>
  <si>
    <t>mtr</t>
  </si>
  <si>
    <t>detik</t>
  </si>
  <si>
    <t>4. Flow Process &amp; Cycletime (Cycletime per Kategori Produk)</t>
  </si>
  <si>
    <t>Spandek :</t>
  </si>
  <si>
    <t>Cutting Spandek</t>
  </si>
  <si>
    <t>menit</t>
  </si>
  <si>
    <t>Machine</t>
  </si>
  <si>
    <t>Cycletime
(Menit)</t>
  </si>
  <si>
    <t>Man Power</t>
  </si>
  <si>
    <t>Man Hour</t>
  </si>
  <si>
    <t>5. Man Power Rate</t>
  </si>
  <si>
    <t>Add</t>
  </si>
  <si>
    <t>#</t>
  </si>
  <si>
    <t>Salary Direct Man Power</t>
  </si>
  <si>
    <t>Gaji Pokok</t>
  </si>
  <si>
    <t>per bulan</t>
  </si>
  <si>
    <t>Tunjangan Keluarga</t>
  </si>
  <si>
    <t>Tunjangan Jabatan</t>
  </si>
  <si>
    <t>THR</t>
  </si>
  <si>
    <t>Cuti</t>
  </si>
  <si>
    <t>Uang Makan</t>
  </si>
  <si>
    <t>per 25 hari</t>
  </si>
  <si>
    <t>BPJS</t>
  </si>
  <si>
    <t>Jaminan Kecelakaan Kerja</t>
  </si>
  <si>
    <t>0,89% perbulan</t>
  </si>
  <si>
    <t>Jaminan Kematian</t>
  </si>
  <si>
    <t>0,3% perbulan</t>
  </si>
  <si>
    <t>Jaminan Hari Tua</t>
  </si>
  <si>
    <t>3,7% perbulan</t>
  </si>
  <si>
    <t>Jaminan pensiun</t>
  </si>
  <si>
    <t>2% perbulan</t>
  </si>
  <si>
    <t>Jaminan Kesehatan</t>
  </si>
  <si>
    <t>4% perbulan</t>
  </si>
  <si>
    <t>Biaya Lain-Lain</t>
  </si>
  <si>
    <t>Seragam (2 pc/thn)</t>
  </si>
  <si>
    <t>Prorate/bln</t>
  </si>
  <si>
    <t>Sepatu (1 psg/tahun)</t>
  </si>
  <si>
    <t>Helm (1 pcs/tahun)</t>
  </si>
  <si>
    <t>Sarung Tangan (1 psg/2 hari)</t>
  </si>
  <si>
    <t>Per Bulan</t>
  </si>
  <si>
    <t>Masker (1 pc/hari x 25 hari)</t>
  </si>
  <si>
    <t>Total Biaya Direct Labor /Bulan :</t>
  </si>
  <si>
    <t>Rate Direct Labor :</t>
  </si>
  <si>
    <t>Total Biaya MP/bulan / 173 jam</t>
  </si>
  <si>
    <t>Rate Faktor Indirect Labor :</t>
  </si>
  <si>
    <t>Rate Man Power</t>
  </si>
  <si>
    <t>per jam</t>
  </si>
  <si>
    <t>Save</t>
  </si>
  <si>
    <t>6. Rate Bahan Pendukung Khusus dan FOH</t>
  </si>
  <si>
    <t>Rate Bahan Pendukung Khusus</t>
  </si>
  <si>
    <t>Rate FOH</t>
  </si>
  <si>
    <t>BONDECK</t>
  </si>
  <si>
    <t>--&gt; contoh saja</t>
  </si>
  <si>
    <t>7. General Rate (Manufacturing Support, Other Cost, Negotiation Allowance)</t>
  </si>
  <si>
    <t>Formula</t>
  </si>
  <si>
    <t>Rate/Meter</t>
  </si>
  <si>
    <t>Manufacturing Support</t>
  </si>
  <si>
    <t>3.1 Consumables (Umum)</t>
  </si>
  <si>
    <t>% x Material Cost</t>
  </si>
  <si>
    <t>% x HPP</t>
  </si>
  <si>
    <t>% x Bottom Price</t>
  </si>
  <si>
    <t>Rp/Kg * Berat/Meter</t>
  </si>
  <si>
    <t>Other Cost
(Sales, Marketing)</t>
  </si>
  <si>
    <t>Other Cost
(Transport)</t>
  </si>
  <si>
    <t>Other Cost
(Finance, admin)</t>
  </si>
  <si>
    <t>Other Cost
(Management Fee)</t>
  </si>
  <si>
    <t>Other Cost
(Interest)</t>
  </si>
  <si>
    <t>3. Price Reference</t>
  </si>
  <si>
    <t>Harga Pembelian Terakhir</t>
  </si>
  <si>
    <t>History Pembelian :</t>
  </si>
  <si>
    <t>Price Reference :</t>
  </si>
  <si>
    <t>Januari</t>
  </si>
  <si>
    <t>Februari</t>
  </si>
  <si>
    <t>Maret</t>
  </si>
  <si>
    <t>April</t>
  </si>
  <si>
    <t>Mei</t>
  </si>
  <si>
    <t>Juni</t>
  </si>
  <si>
    <t>History Price/Unit (USD) Material</t>
  </si>
  <si>
    <t>Latest Price</t>
  </si>
  <si>
    <t>Average Price</t>
  </si>
  <si>
    <t>Harga Pembelian Rata-rata</t>
  </si>
  <si>
    <t>Keputusan Pemakaian Price Reference</t>
  </si>
  <si>
    <t>Harga Terakhir</t>
  </si>
  <si>
    <t>--&gt; Bisa edit</t>
  </si>
  <si>
    <t>--&gt; Punya uniq ID sendiri</t>
  </si>
  <si>
    <t>--&gt; Punya uniq ID sendiri, karena beda tebal</t>
  </si>
  <si>
    <t>Kurs Update:</t>
  </si>
  <si>
    <t>Currency</t>
  </si>
  <si>
    <t>USD</t>
  </si>
  <si>
    <t>Last Updated</t>
  </si>
  <si>
    <t>Updated By</t>
  </si>
  <si>
    <t>accounting</t>
  </si>
  <si>
    <t>Final Price Reference (USD)</t>
  </si>
  <si>
    <t>Final Price Reference (IDR)</t>
  </si>
  <si>
    <t>Man Power Cost :</t>
  </si>
  <si>
    <t>(Total Man Hour Category Product x Man Power Rate)</t>
  </si>
  <si>
    <t>No.Uniq ID</t>
  </si>
  <si>
    <t>Pricelist HFG saat ini :</t>
  </si>
  <si>
    <t>(Harga Dasar + Extra Margin)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</si>
</sst>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0_-;\-* #,##0.000_-;_-* &quot;-&quot;??_-;_-@_-"/>
    <numFmt numFmtId="165" formatCode="_-* #,##0.00000_-;\-* #,##0.00000_-;_-* &quot;-&quot;??_-;_-@_-"/>
    <numFmt numFmtId="166" formatCode="&quot;Rp&quot;#,##0.00"/>
    <numFmt numFmtId="167" formatCode="0.000"/>
  </numFmts>
  <fonts count="1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top"/>
    </xf>
    <xf numFmtId="43" fontId="0" fillId="3" borderId="1" xfId="1" applyFont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43" fontId="0" fillId="3" borderId="1" xfId="0" applyNumberFormat="1" applyFill="1" applyBorder="1" applyAlignment="1">
      <alignment vertical="top"/>
    </xf>
    <xf numFmtId="43" fontId="0" fillId="4" borderId="1" xfId="1" applyFont="1" applyFill="1" applyBorder="1" applyAlignment="1">
      <alignment vertical="top"/>
    </xf>
    <xf numFmtId="43" fontId="4" fillId="3" borderId="1" xfId="1" quotePrefix="1" applyFont="1" applyFill="1" applyBorder="1" applyAlignment="1">
      <alignment vertical="top"/>
    </xf>
    <xf numFmtId="43" fontId="0" fillId="0" borderId="0" xfId="0" quotePrefix="1" applyNumberFormat="1" applyAlignment="1">
      <alignment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quotePrefix="1" applyFont="1" applyAlignment="1">
      <alignment vertical="top"/>
    </xf>
    <xf numFmtId="0" fontId="0" fillId="5" borderId="0" xfId="0" applyFill="1" applyAlignment="1">
      <alignment horizontal="center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43" fontId="0" fillId="0" borderId="0" xfId="1" applyFont="1" applyAlignment="1">
      <alignment vertical="top"/>
    </xf>
    <xf numFmtId="0" fontId="8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43" fontId="0" fillId="0" borderId="1" xfId="1" applyFont="1" applyBorder="1" applyAlignment="1">
      <alignment vertical="top"/>
    </xf>
    <xf numFmtId="43" fontId="0" fillId="0" borderId="1" xfId="1" applyFont="1" applyBorder="1" applyAlignment="1">
      <alignment horizontal="center" vertical="top"/>
    </xf>
    <xf numFmtId="43" fontId="0" fillId="0" borderId="0" xfId="0" applyNumberFormat="1" applyAlignment="1">
      <alignment vertical="top"/>
    </xf>
    <xf numFmtId="0" fontId="4" fillId="7" borderId="1" xfId="0" applyFont="1" applyFill="1" applyBorder="1" applyAlignment="1">
      <alignment horizontal="center" vertical="top"/>
    </xf>
    <xf numFmtId="43" fontId="0" fillId="0" borderId="1" xfId="0" applyNumberFormat="1" applyBorder="1" applyAlignment="1">
      <alignment vertical="top"/>
    </xf>
    <xf numFmtId="43" fontId="0" fillId="6" borderId="1" xfId="0" applyNumberFormat="1" applyFill="1" applyBorder="1" applyAlignment="1">
      <alignment vertical="top"/>
    </xf>
    <xf numFmtId="0" fontId="0" fillId="0" borderId="1" xfId="0" applyBorder="1" applyAlignment="1">
      <alignment vertical="top" wrapText="1"/>
    </xf>
    <xf numFmtId="43" fontId="0" fillId="8" borderId="1" xfId="1" applyFont="1" applyFill="1" applyBorder="1" applyAlignment="1">
      <alignment vertical="top"/>
    </xf>
    <xf numFmtId="9" fontId="0" fillId="5" borderId="1" xfId="0" applyNumberFormat="1" applyFill="1" applyBorder="1" applyAlignment="1">
      <alignment horizontal="center" vertical="top"/>
    </xf>
    <xf numFmtId="43" fontId="4" fillId="0" borderId="1" xfId="0" applyNumberFormat="1" applyFont="1" applyBorder="1" applyAlignment="1">
      <alignment vertical="top"/>
    </xf>
    <xf numFmtId="43" fontId="4" fillId="9" borderId="1" xfId="0" applyNumberFormat="1" applyFont="1" applyFill="1" applyBorder="1" applyAlignment="1">
      <alignment vertical="top"/>
    </xf>
    <xf numFmtId="0" fontId="0" fillId="0" borderId="0" xfId="0" quotePrefix="1" applyAlignment="1">
      <alignment vertical="top"/>
    </xf>
    <xf numFmtId="0" fontId="0" fillId="5" borderId="1" xfId="0" applyFill="1" applyBorder="1" applyAlignment="1">
      <alignment horizontal="center" vertical="top"/>
    </xf>
    <xf numFmtId="0" fontId="9" fillId="0" borderId="0" xfId="0" quotePrefix="1" applyFont="1" applyAlignment="1">
      <alignment vertical="top"/>
    </xf>
    <xf numFmtId="0" fontId="6" fillId="0" borderId="1" xfId="0" applyFont="1" applyBorder="1" applyAlignment="1">
      <alignment horizontal="center" vertical="top" wrapText="1"/>
    </xf>
    <xf numFmtId="43" fontId="4" fillId="0" borderId="0" xfId="0" applyNumberFormat="1" applyFont="1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43" fontId="0" fillId="0" borderId="1" xfId="0" applyNumberFormat="1" applyBorder="1" applyAlignment="1">
      <alignment horizontal="center" vertical="top"/>
    </xf>
    <xf numFmtId="43" fontId="0" fillId="7" borderId="1" xfId="0" applyNumberFormat="1" applyFill="1" applyBorder="1" applyAlignment="1">
      <alignment vertical="top"/>
    </xf>
    <xf numFmtId="43" fontId="4" fillId="10" borderId="1" xfId="0" applyNumberFormat="1" applyFont="1" applyFill="1" applyBorder="1" applyAlignment="1">
      <alignment vertical="top"/>
    </xf>
    <xf numFmtId="0" fontId="4" fillId="9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43" fontId="4" fillId="6" borderId="1" xfId="0" applyNumberFormat="1" applyFont="1" applyFill="1" applyBorder="1" applyAlignment="1">
      <alignment vertical="top"/>
    </xf>
    <xf numFmtId="0" fontId="0" fillId="7" borderId="1" xfId="0" applyFill="1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0" fontId="11" fillId="11" borderId="0" xfId="0" applyFont="1" applyFill="1" applyAlignment="1">
      <alignment horizontal="center" vertical="top"/>
    </xf>
    <xf numFmtId="15" fontId="0" fillId="0" borderId="1" xfId="0" applyNumberFormat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10" fillId="12" borderId="1" xfId="0" applyFont="1" applyFill="1" applyBorder="1" applyAlignment="1">
      <alignment horizontal="center" vertical="top"/>
    </xf>
    <xf numFmtId="165" fontId="0" fillId="0" borderId="1" xfId="0" applyNumberFormat="1" applyBorder="1" applyAlignment="1">
      <alignment horizontal="center" vertical="top"/>
    </xf>
    <xf numFmtId="0" fontId="12" fillId="13" borderId="1" xfId="0" applyFont="1" applyFill="1" applyBorder="1" applyAlignment="1">
      <alignment horizontal="center" vertical="top"/>
    </xf>
    <xf numFmtId="0" fontId="13" fillId="13" borderId="1" xfId="0" applyFont="1" applyFill="1" applyBorder="1" applyAlignment="1">
      <alignment horizontal="center" vertical="top"/>
    </xf>
    <xf numFmtId="0" fontId="13" fillId="13" borderId="1" xfId="0" applyFont="1" applyFill="1" applyBorder="1" applyAlignment="1">
      <alignment horizontal="left" vertical="top"/>
    </xf>
    <xf numFmtId="4" fontId="13" fillId="5" borderId="1" xfId="0" applyNumberFormat="1" applyFont="1" applyFill="1" applyBorder="1" applyAlignment="1">
      <alignment horizontal="right" vertical="top"/>
    </xf>
    <xf numFmtId="0" fontId="11" fillId="12" borderId="0" xfId="0" applyFont="1" applyFill="1" applyAlignment="1">
      <alignment horizontal="center" vertical="top"/>
    </xf>
    <xf numFmtId="4" fontId="12" fillId="13" borderId="1" xfId="0" applyNumberFormat="1" applyFont="1" applyFill="1" applyBorder="1" applyAlignment="1">
      <alignment horizontal="right" vertical="top"/>
    </xf>
    <xf numFmtId="0" fontId="12" fillId="13" borderId="1" xfId="0" applyFont="1" applyFill="1" applyBorder="1" applyAlignment="1">
      <alignment horizontal="left" vertical="top"/>
    </xf>
    <xf numFmtId="0" fontId="12" fillId="13" borderId="1" xfId="0" applyFont="1" applyFill="1" applyBorder="1" applyAlignment="1">
      <alignment horizontal="right" vertical="top"/>
    </xf>
    <xf numFmtId="4" fontId="12" fillId="6" borderId="1" xfId="0" applyNumberFormat="1" applyFont="1" applyFill="1" applyBorder="1" applyAlignment="1">
      <alignment horizontal="right" vertical="top"/>
    </xf>
    <xf numFmtId="0" fontId="12" fillId="13" borderId="1" xfId="0" applyFont="1" applyFill="1" applyBorder="1" applyAlignment="1">
      <alignment horizontal="left" vertical="top" wrapText="1"/>
    </xf>
    <xf numFmtId="43" fontId="4" fillId="5" borderId="1" xfId="1" applyFont="1" applyFill="1" applyBorder="1" applyAlignment="1">
      <alignment horizontal="center" vertical="top"/>
    </xf>
    <xf numFmtId="0" fontId="12" fillId="13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166" fontId="0" fillId="5" borderId="1" xfId="0" applyNumberForma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/>
    </xf>
    <xf numFmtId="4" fontId="4" fillId="0" borderId="0" xfId="0" applyNumberFormat="1" applyFont="1" applyAlignment="1">
      <alignment horizontal="left" vertical="top"/>
    </xf>
    <xf numFmtId="164" fontId="0" fillId="0" borderId="1" xfId="1" applyNumberFormat="1" applyFont="1" applyBorder="1" applyAlignment="1">
      <alignment horizontal="center" vertical="top"/>
    </xf>
    <xf numFmtId="167" fontId="0" fillId="0" borderId="1" xfId="0" applyNumberFormat="1" applyBorder="1" applyAlignment="1">
      <alignment horizontal="center" vertical="top"/>
    </xf>
    <xf numFmtId="43" fontId="0" fillId="5" borderId="1" xfId="1" applyFont="1" applyFill="1" applyBorder="1" applyAlignment="1">
      <alignment horizontal="center" vertical="top"/>
    </xf>
    <xf numFmtId="0" fontId="4" fillId="0" borderId="0" xfId="0" applyFont="1" applyAlignment="1">
      <alignment horizontal="right" vertical="top"/>
    </xf>
    <xf numFmtId="43" fontId="4" fillId="7" borderId="0" xfId="0" applyNumberFormat="1" applyFont="1" applyFill="1" applyAlignment="1">
      <alignment vertical="top"/>
    </xf>
    <xf numFmtId="9" fontId="0" fillId="5" borderId="1" xfId="2" applyFont="1" applyFill="1" applyBorder="1" applyAlignment="1">
      <alignment horizontal="center" vertical="top"/>
    </xf>
    <xf numFmtId="43" fontId="4" fillId="0" borderId="0" xfId="1" applyFont="1" applyAlignment="1">
      <alignment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4" fillId="10" borderId="10" xfId="0" applyFont="1" applyFill="1" applyBorder="1" applyAlignment="1">
      <alignment horizontal="center" vertical="top"/>
    </xf>
    <xf numFmtId="0" fontId="4" fillId="10" borderId="0" xfId="0" applyFont="1" applyFill="1" applyAlignment="1">
      <alignment horizontal="center" vertical="top"/>
    </xf>
    <xf numFmtId="0" fontId="4" fillId="10" borderId="5" xfId="0" applyFont="1" applyFill="1" applyBorder="1" applyAlignment="1">
      <alignment horizontal="center" vertical="top"/>
    </xf>
    <xf numFmtId="0" fontId="4" fillId="10" borderId="6" xfId="0" applyFont="1" applyFill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7</xdr:col>
      <xdr:colOff>565149</xdr:colOff>
      <xdr:row>40</xdr:row>
      <xdr:rowOff>97166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3C5614-43ED-4A20-880E-679B7F7E3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603750"/>
          <a:ext cx="6089649" cy="2859416"/>
        </a:xfrm>
        <a:prstGeom prst="rect">
          <a:avLst/>
        </a:prstGeom>
      </xdr:spPr>
    </xdr:pic>
    <xdr:clientData/>
  </xdr:twoCellAnchor>
  <xdr:twoCellAnchor editAs="oneCell">
    <xdr:from>
      <xdr:col>11</xdr:col>
      <xdr:colOff>431800</xdr:colOff>
      <xdr:row>22</xdr:row>
      <xdr:rowOff>50800</xdr:rowOff>
    </xdr:from>
    <xdr:to>
      <xdr:col>17</xdr:col>
      <xdr:colOff>590746</xdr:colOff>
      <xdr:row>39</xdr:row>
      <xdr:rowOff>50961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500EDD-4A40-4BC9-BAE7-7CE933170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99550" y="4102100"/>
          <a:ext cx="3816546" cy="3130711"/>
        </a:xfrm>
        <a:prstGeom prst="rect">
          <a:avLst/>
        </a:prstGeom>
      </xdr:spPr>
    </xdr:pic>
    <xdr:clientData/>
  </xdr:twoCellAnchor>
  <xdr:twoCellAnchor>
    <xdr:from>
      <xdr:col>2</xdr:col>
      <xdr:colOff>1028700</xdr:colOff>
      <xdr:row>31</xdr:row>
      <xdr:rowOff>133350</xdr:rowOff>
    </xdr:from>
    <xdr:to>
      <xdr:col>3</xdr:col>
      <xdr:colOff>194236</xdr:colOff>
      <xdr:row>37</xdr:row>
      <xdr:rowOff>120650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4451547-8C72-4739-9992-843410F33516}"/>
            </a:ext>
          </a:extLst>
        </xdr:cNvPr>
        <xdr:cNvSpPr/>
      </xdr:nvSpPr>
      <xdr:spPr>
        <a:xfrm>
          <a:off x="2253876" y="5923056"/>
          <a:ext cx="472889" cy="1107888"/>
        </a:xfrm>
        <a:prstGeom prst="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</xdr:col>
      <xdr:colOff>565150</xdr:colOff>
      <xdr:row>41</xdr:row>
      <xdr:rowOff>25400</xdr:rowOff>
    </xdr:from>
    <xdr:to>
      <xdr:col>4</xdr:col>
      <xdr:colOff>533400</xdr:colOff>
      <xdr:row>43</xdr:row>
      <xdr:rowOff>6350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F63AF2E-B60C-48D9-8097-277670EE3699}"/>
            </a:ext>
          </a:extLst>
        </xdr:cNvPr>
        <xdr:cNvSpPr txBox="1"/>
      </xdr:nvSpPr>
      <xdr:spPr>
        <a:xfrm>
          <a:off x="1174750" y="7575550"/>
          <a:ext cx="2781300" cy="349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Berat per roll</a:t>
          </a:r>
          <a:r>
            <a:rPr lang="id-ID" sz="1100" baseline="0"/>
            <a:t> dalam Kg</a:t>
          </a:r>
          <a:endParaRPr lang="id-ID" sz="1100"/>
        </a:p>
      </xdr:txBody>
    </xdr:sp>
    <xdr:clientData/>
  </xdr:twoCellAnchor>
  <xdr:twoCellAnchor>
    <xdr:from>
      <xdr:col>2</xdr:col>
      <xdr:colOff>1265145</xdr:colOff>
      <xdr:row>37</xdr:row>
      <xdr:rowOff>120650</xdr:rowOff>
    </xdr:from>
    <xdr:to>
      <xdr:col>3</xdr:col>
      <xdr:colOff>168276</xdr:colOff>
      <xdr:row>41</xdr:row>
      <xdr:rowOff>25400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BA033234-E3FB-446C-8969-18C1E031CE09}"/>
            </a:ext>
          </a:extLst>
        </xdr:cNvPr>
        <xdr:cNvCxnSpPr>
          <a:stCxn id="4" idx="2"/>
          <a:endCxn id="5" idx="0"/>
        </xdr:cNvCxnSpPr>
      </xdr:nvCxnSpPr>
      <xdr:spPr>
        <a:xfrm>
          <a:off x="2490321" y="7030944"/>
          <a:ext cx="210484" cy="651809"/>
        </a:xfrm>
        <a:prstGeom prst="straightConnector1">
          <a:avLst/>
        </a:prstGeom>
        <a:ln w="190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359336</xdr:colOff>
      <xdr:row>31</xdr:row>
      <xdr:rowOff>120650</xdr:rowOff>
    </xdr:from>
    <xdr:to>
      <xdr:col>3</xdr:col>
      <xdr:colOff>822886</xdr:colOff>
      <xdr:row>37</xdr:row>
      <xdr:rowOff>120650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5E4C0D4-F922-4D17-90AA-1AAA2AEF81A9}"/>
            </a:ext>
          </a:extLst>
        </xdr:cNvPr>
        <xdr:cNvSpPr/>
      </xdr:nvSpPr>
      <xdr:spPr>
        <a:xfrm>
          <a:off x="2891865" y="5910356"/>
          <a:ext cx="463550" cy="1120588"/>
        </a:xfrm>
        <a:prstGeom prst="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806450</xdr:colOff>
      <xdr:row>38</xdr:row>
      <xdr:rowOff>158750</xdr:rowOff>
    </xdr:from>
    <xdr:to>
      <xdr:col>7</xdr:col>
      <xdr:colOff>571500</xdr:colOff>
      <xdr:row>41</xdr:row>
      <xdr:rowOff>76200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9F3E8E7-72A2-43C8-BB87-B14D63C6B359}"/>
            </a:ext>
          </a:extLst>
        </xdr:cNvPr>
        <xdr:cNvSpPr txBox="1"/>
      </xdr:nvSpPr>
      <xdr:spPr>
        <a:xfrm>
          <a:off x="4229100" y="7156450"/>
          <a:ext cx="2216150" cy="46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Range Berat per meter 1 Mother Coil</a:t>
          </a:r>
        </a:p>
      </xdr:txBody>
    </xdr:sp>
    <xdr:clientData/>
  </xdr:twoCellAnchor>
  <xdr:twoCellAnchor>
    <xdr:from>
      <xdr:col>3</xdr:col>
      <xdr:colOff>591111</xdr:colOff>
      <xdr:row>37</xdr:row>
      <xdr:rowOff>120650</xdr:rowOff>
    </xdr:from>
    <xdr:to>
      <xdr:col>6</xdr:col>
      <xdr:colOff>244476</xdr:colOff>
      <xdr:row>38</xdr:row>
      <xdr:rowOff>158750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213EB81-2CEB-4677-BDDF-CFE752A0D5AA}"/>
            </a:ext>
          </a:extLst>
        </xdr:cNvPr>
        <xdr:cNvCxnSpPr>
          <a:stCxn id="7" idx="2"/>
          <a:endCxn id="8" idx="0"/>
        </xdr:cNvCxnSpPr>
      </xdr:nvCxnSpPr>
      <xdr:spPr>
        <a:xfrm>
          <a:off x="3123640" y="7030944"/>
          <a:ext cx="2484718" cy="224865"/>
        </a:xfrm>
        <a:prstGeom prst="straightConnector1">
          <a:avLst/>
        </a:prstGeom>
        <a:ln w="190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57151</xdr:colOff>
      <xdr:row>53</xdr:row>
      <xdr:rowOff>15038</xdr:rowOff>
    </xdr:from>
    <xdr:to>
      <xdr:col>7</xdr:col>
      <xdr:colOff>120651</xdr:colOff>
      <xdr:row>61</xdr:row>
      <xdr:rowOff>35893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236ED9C-B707-44B6-A895-6A04ABB7B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1" y="9774988"/>
          <a:ext cx="5588000" cy="1494055"/>
        </a:xfrm>
        <a:prstGeom prst="rect">
          <a:avLst/>
        </a:prstGeom>
      </xdr:spPr>
    </xdr:pic>
    <xdr:clientData/>
  </xdr:twoCellAnchor>
  <xdr:twoCellAnchor>
    <xdr:from>
      <xdr:col>3</xdr:col>
      <xdr:colOff>82550</xdr:colOff>
      <xdr:row>63</xdr:row>
      <xdr:rowOff>12700</xdr:rowOff>
    </xdr:from>
    <xdr:to>
      <xdr:col>3</xdr:col>
      <xdr:colOff>1035050</xdr:colOff>
      <xdr:row>67</xdr:row>
      <xdr:rowOff>31750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5A427A4-BAAA-4D06-8080-A8E4DCBEF777}"/>
            </a:ext>
          </a:extLst>
        </xdr:cNvPr>
        <xdr:cNvSpPr/>
      </xdr:nvSpPr>
      <xdr:spPr>
        <a:xfrm>
          <a:off x="2349500" y="11614150"/>
          <a:ext cx="952500" cy="939800"/>
        </a:xfrm>
        <a:prstGeom prst="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</xdr:col>
      <xdr:colOff>1035050</xdr:colOff>
      <xdr:row>64</xdr:row>
      <xdr:rowOff>114300</xdr:rowOff>
    </xdr:from>
    <xdr:to>
      <xdr:col>8</xdr:col>
      <xdr:colOff>0</xdr:colOff>
      <xdr:row>64</xdr:row>
      <xdr:rowOff>120650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21EA6CC-2DAD-417D-9EBC-88B1BCCF7B87}"/>
            </a:ext>
          </a:extLst>
        </xdr:cNvPr>
        <xdr:cNvCxnSpPr>
          <a:stCxn id="11" idx="3"/>
        </xdr:cNvCxnSpPr>
      </xdr:nvCxnSpPr>
      <xdr:spPr>
        <a:xfrm>
          <a:off x="3302000" y="12084050"/>
          <a:ext cx="3181350" cy="6350"/>
        </a:xfrm>
        <a:prstGeom prst="straightConnector1">
          <a:avLst/>
        </a:prstGeom>
        <a:ln w="190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24184</xdr:colOff>
      <xdr:row>41</xdr:row>
      <xdr:rowOff>170078</xdr:rowOff>
    </xdr:from>
    <xdr:to>
      <xdr:col>16</xdr:col>
      <xdr:colOff>107575</xdr:colOff>
      <xdr:row>51</xdr:row>
      <xdr:rowOff>139918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999385-1ED4-4609-BB0F-9DAFC636C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81084" y="5142128"/>
          <a:ext cx="3430215" cy="19954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336176</xdr:colOff>
      <xdr:row>5</xdr:row>
      <xdr:rowOff>44824</xdr:rowOff>
    </xdr:from>
    <xdr:to>
      <xdr:col>24</xdr:col>
      <xdr:colOff>485588</xdr:colOff>
      <xdr:row>7</xdr:row>
      <xdr:rowOff>134471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E04C3FBB-9986-473C-B587-9EFD603FEA39}"/>
            </a:ext>
          </a:extLst>
        </xdr:cNvPr>
        <xdr:cNvSpPr/>
      </xdr:nvSpPr>
      <xdr:spPr>
        <a:xfrm>
          <a:off x="22852529" y="2076824"/>
          <a:ext cx="149412" cy="46317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 editAs="oneCell">
    <xdr:from>
      <xdr:col>20</xdr:col>
      <xdr:colOff>814295</xdr:colOff>
      <xdr:row>9</xdr:row>
      <xdr:rowOff>59764</xdr:rowOff>
    </xdr:from>
    <xdr:to>
      <xdr:col>30</xdr:col>
      <xdr:colOff>121824</xdr:colOff>
      <xdr:row>12</xdr:row>
      <xdr:rowOff>39248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1F6A74-5B9F-4805-9AD8-FE8185526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01119" y="2838823"/>
          <a:ext cx="8287176" cy="539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F93D6-96C9-4F2E-8847-57A306E95877}">
  <dimension ref="A1:O41"/>
  <sheetViews>
    <sheetView workbookViewId="0">
      <selection activeCell="O41" sqref="O41"/>
    </sheetView>
  </sheetViews>
  <sheetFormatPr defaultRowHeight="14.5" x14ac:dyDescent="0.35"/>
  <cols>
    <col min="1" max="1" width="8.7265625" style="1"/>
    <col min="2" max="2" width="23.36328125" style="1" customWidth="1"/>
    <col min="3" max="3" width="30.81640625" style="1" customWidth="1"/>
    <col min="4" max="4" width="13.1796875" style="1" customWidth="1"/>
    <col min="5" max="5" width="8.7265625" style="1"/>
    <col min="6" max="6" width="10.08984375" style="1" bestFit="1" customWidth="1"/>
    <col min="7" max="16384" width="8.7265625" style="1"/>
  </cols>
  <sheetData>
    <row r="1" spans="1:9" x14ac:dyDescent="0.35">
      <c r="A1" s="2" t="s">
        <v>0</v>
      </c>
    </row>
    <row r="3" spans="1:9" ht="14.5" customHeight="1" x14ac:dyDescent="0.35">
      <c r="A3" s="88" t="s">
        <v>1</v>
      </c>
      <c r="B3" s="88"/>
      <c r="C3" s="88"/>
      <c r="D3" s="88"/>
      <c r="E3" s="88"/>
      <c r="F3" s="88"/>
      <c r="G3" s="88"/>
      <c r="H3" s="88"/>
      <c r="I3" s="88"/>
    </row>
    <row r="4" spans="1:9" x14ac:dyDescent="0.35">
      <c r="A4" s="88"/>
      <c r="B4" s="88"/>
      <c r="C4" s="88"/>
      <c r="D4" s="88"/>
      <c r="E4" s="88"/>
      <c r="F4" s="88"/>
      <c r="G4" s="88"/>
      <c r="H4" s="88"/>
      <c r="I4" s="88"/>
    </row>
    <row r="5" spans="1:9" x14ac:dyDescent="0.35">
      <c r="A5" s="88"/>
      <c r="B5" s="88"/>
      <c r="C5" s="88"/>
      <c r="D5" s="88"/>
      <c r="E5" s="88"/>
      <c r="F5" s="88"/>
      <c r="G5" s="88"/>
      <c r="H5" s="88"/>
      <c r="I5" s="88"/>
    </row>
    <row r="6" spans="1:9" x14ac:dyDescent="0.35">
      <c r="A6" s="88"/>
      <c r="B6" s="88"/>
      <c r="C6" s="88"/>
      <c r="D6" s="88"/>
      <c r="E6" s="88"/>
      <c r="F6" s="88"/>
      <c r="G6" s="88"/>
      <c r="H6" s="88"/>
      <c r="I6" s="88"/>
    </row>
    <row r="8" spans="1:9" ht="17.5" x14ac:dyDescent="0.35">
      <c r="A8" s="3" t="s">
        <v>2</v>
      </c>
    </row>
    <row r="9" spans="1:9" x14ac:dyDescent="0.35">
      <c r="B9" t="s">
        <v>3</v>
      </c>
    </row>
    <row r="10" spans="1:9" x14ac:dyDescent="0.35">
      <c r="A10" s="4" t="s">
        <v>4</v>
      </c>
    </row>
    <row r="11" spans="1:9" x14ac:dyDescent="0.35">
      <c r="A11" s="89" t="s">
        <v>5</v>
      </c>
      <c r="B11" s="89"/>
      <c r="C11" s="89"/>
      <c r="D11" s="89"/>
      <c r="E11" s="89"/>
      <c r="F11" s="89"/>
      <c r="G11" s="89"/>
      <c r="H11" s="89"/>
      <c r="I11" s="89"/>
    </row>
    <row r="12" spans="1:9" x14ac:dyDescent="0.35">
      <c r="A12" s="89"/>
      <c r="B12" s="89"/>
      <c r="C12" s="89"/>
      <c r="D12" s="89"/>
      <c r="E12" s="89"/>
      <c r="F12" s="89"/>
      <c r="G12" s="89"/>
      <c r="H12" s="89"/>
      <c r="I12" s="89"/>
    </row>
    <row r="13" spans="1:9" x14ac:dyDescent="0.35">
      <c r="A13" s="89"/>
      <c r="B13" s="89"/>
      <c r="C13" s="89"/>
      <c r="D13" s="89"/>
      <c r="E13" s="89"/>
      <c r="F13" s="89"/>
      <c r="G13" s="89"/>
      <c r="H13" s="89"/>
      <c r="I13" s="89"/>
    </row>
    <row r="14" spans="1:9" x14ac:dyDescent="0.35">
      <c r="A14" s="89"/>
      <c r="B14" s="89"/>
      <c r="C14" s="89"/>
      <c r="D14" s="89"/>
      <c r="E14" s="89"/>
      <c r="F14" s="89"/>
      <c r="G14" s="89"/>
      <c r="H14" s="89"/>
      <c r="I14" s="89"/>
    </row>
    <row r="16" spans="1:9" ht="17.5" x14ac:dyDescent="0.35">
      <c r="A16" s="3" t="s">
        <v>6</v>
      </c>
    </row>
    <row r="17" spans="1:15" x14ac:dyDescent="0.35">
      <c r="B17" s="8" t="s">
        <v>7</v>
      </c>
      <c r="C17" s="8" t="s">
        <v>8</v>
      </c>
    </row>
    <row r="18" spans="1:15" x14ac:dyDescent="0.35">
      <c r="B18" s="9">
        <v>0.2</v>
      </c>
      <c r="C18" s="9">
        <v>1.57</v>
      </c>
    </row>
    <row r="19" spans="1:15" x14ac:dyDescent="0.35">
      <c r="B19" s="9">
        <v>0.25</v>
      </c>
      <c r="C19" s="9">
        <v>1.96</v>
      </c>
    </row>
    <row r="20" spans="1:15" x14ac:dyDescent="0.35">
      <c r="B20" s="9">
        <v>0.3</v>
      </c>
      <c r="C20" s="9">
        <v>2.36</v>
      </c>
    </row>
    <row r="21" spans="1:15" x14ac:dyDescent="0.35">
      <c r="B21" s="9">
        <v>0.35</v>
      </c>
      <c r="C21" s="9">
        <v>2.75</v>
      </c>
    </row>
    <row r="22" spans="1:15" x14ac:dyDescent="0.35">
      <c r="B22" s="9">
        <v>0.4</v>
      </c>
      <c r="C22" s="9">
        <v>3.14</v>
      </c>
    </row>
    <row r="23" spans="1:15" x14ac:dyDescent="0.35">
      <c r="B23" s="9">
        <v>0.45</v>
      </c>
      <c r="C23" s="9">
        <v>3.53</v>
      </c>
    </row>
    <row r="24" spans="1:15" x14ac:dyDescent="0.35">
      <c r="B24" s="9">
        <v>0.5</v>
      </c>
      <c r="C24" s="9">
        <v>3.93</v>
      </c>
    </row>
    <row r="25" spans="1:15" x14ac:dyDescent="0.35">
      <c r="B25" s="9">
        <v>0.6</v>
      </c>
      <c r="C25" s="9">
        <v>4.71</v>
      </c>
    </row>
    <row r="26" spans="1:15" x14ac:dyDescent="0.35">
      <c r="B26" s="9">
        <v>0.7</v>
      </c>
      <c r="C26" s="9">
        <v>5.5</v>
      </c>
    </row>
    <row r="28" spans="1:15" ht="17.5" customHeight="1" x14ac:dyDescent="0.35">
      <c r="A28" s="3" t="s">
        <v>9</v>
      </c>
      <c r="G28" s="90" t="s">
        <v>27</v>
      </c>
      <c r="H28" s="90"/>
      <c r="I28" s="90"/>
      <c r="J28" s="90"/>
      <c r="K28" s="90"/>
      <c r="L28" s="90"/>
      <c r="M28" s="90"/>
      <c r="N28" s="90"/>
      <c r="O28" s="90"/>
    </row>
    <row r="29" spans="1:15" x14ac:dyDescent="0.35">
      <c r="G29" s="90"/>
      <c r="H29" s="90"/>
      <c r="I29" s="90"/>
      <c r="J29" s="90"/>
      <c r="K29" s="90"/>
      <c r="L29" s="90"/>
      <c r="M29" s="90"/>
      <c r="N29" s="90"/>
      <c r="O29" s="90"/>
    </row>
    <row r="30" spans="1:15" x14ac:dyDescent="0.35">
      <c r="A30" s="1" t="s">
        <v>10</v>
      </c>
      <c r="G30" s="90"/>
      <c r="H30" s="90"/>
      <c r="I30" s="90"/>
      <c r="J30" s="90"/>
      <c r="K30" s="90"/>
      <c r="L30" s="90"/>
      <c r="M30" s="90"/>
      <c r="N30" s="90"/>
      <c r="O30" s="90"/>
    </row>
    <row r="31" spans="1:15" x14ac:dyDescent="0.35">
      <c r="A31" s="1" t="s">
        <v>11</v>
      </c>
      <c r="G31" s="90"/>
      <c r="H31" s="90"/>
      <c r="I31" s="90"/>
      <c r="J31" s="90"/>
      <c r="K31" s="90"/>
      <c r="L31" s="90"/>
      <c r="M31" s="90"/>
      <c r="N31" s="90"/>
      <c r="O31" s="90"/>
    </row>
    <row r="32" spans="1:15" x14ac:dyDescent="0.35">
      <c r="A32" s="1" t="s">
        <v>12</v>
      </c>
      <c r="G32" s="90"/>
      <c r="H32" s="90"/>
      <c r="I32" s="90"/>
      <c r="J32" s="90"/>
      <c r="K32" s="90"/>
      <c r="L32" s="90"/>
      <c r="M32" s="90"/>
      <c r="N32" s="90"/>
      <c r="O32" s="90"/>
    </row>
    <row r="33" spans="1:15" x14ac:dyDescent="0.35">
      <c r="G33" s="90"/>
      <c r="H33" s="90"/>
      <c r="I33" s="90"/>
      <c r="J33" s="90"/>
      <c r="K33" s="90"/>
      <c r="L33" s="90"/>
      <c r="M33" s="90"/>
      <c r="N33" s="90"/>
      <c r="O33" s="90"/>
    </row>
    <row r="34" spans="1:15" ht="17.5" x14ac:dyDescent="0.35">
      <c r="A34" s="3" t="s">
        <v>13</v>
      </c>
    </row>
    <row r="35" spans="1:15" x14ac:dyDescent="0.35">
      <c r="B35" s="5" t="s">
        <v>14</v>
      </c>
      <c r="C35" s="5" t="s">
        <v>15</v>
      </c>
      <c r="D35" s="5" t="s">
        <v>28</v>
      </c>
      <c r="E35" s="5" t="s">
        <v>30</v>
      </c>
    </row>
    <row r="36" spans="1:15" ht="29" x14ac:dyDescent="0.35">
      <c r="B36" s="10" t="s">
        <v>29</v>
      </c>
      <c r="C36" s="6" t="s">
        <v>21</v>
      </c>
      <c r="D36" s="11">
        <v>0.3</v>
      </c>
      <c r="E36" s="14" t="s">
        <v>31</v>
      </c>
    </row>
    <row r="37" spans="1:15" x14ac:dyDescent="0.35">
      <c r="B37" s="6" t="s">
        <v>16</v>
      </c>
      <c r="C37" s="6" t="s">
        <v>22</v>
      </c>
      <c r="D37" s="12">
        <f>D36*7.85*1</f>
        <v>2.355</v>
      </c>
      <c r="E37" s="14" t="s">
        <v>32</v>
      </c>
    </row>
    <row r="38" spans="1:15" x14ac:dyDescent="0.35">
      <c r="B38" s="6" t="s">
        <v>17</v>
      </c>
      <c r="C38" s="6" t="s">
        <v>23</v>
      </c>
      <c r="D38" s="13">
        <v>1.0149999999999999</v>
      </c>
      <c r="E38" s="14" t="s">
        <v>33</v>
      </c>
    </row>
    <row r="39" spans="1:15" x14ac:dyDescent="0.35">
      <c r="B39" s="7" t="s">
        <v>18</v>
      </c>
      <c r="C39" s="6" t="s">
        <v>24</v>
      </c>
      <c r="D39" s="15">
        <f>D37*D38</f>
        <v>2.3903249999999998</v>
      </c>
      <c r="E39" s="14" t="s">
        <v>34</v>
      </c>
    </row>
    <row r="40" spans="1:15" x14ac:dyDescent="0.35">
      <c r="B40" s="6" t="s">
        <v>19</v>
      </c>
      <c r="C40" s="6" t="s">
        <v>25</v>
      </c>
      <c r="D40" s="16">
        <v>16936.939999999999</v>
      </c>
      <c r="E40" s="14" t="s">
        <v>35</v>
      </c>
    </row>
    <row r="41" spans="1:15" x14ac:dyDescent="0.35">
      <c r="B41" s="7" t="s">
        <v>20</v>
      </c>
      <c r="C41" s="6" t="s">
        <v>26</v>
      </c>
      <c r="D41" s="17">
        <f>D39*D40</f>
        <v>40484.791105499993</v>
      </c>
      <c r="E41" s="14" t="s">
        <v>36</v>
      </c>
      <c r="F41" s="18" t="s">
        <v>37</v>
      </c>
    </row>
  </sheetData>
  <mergeCells count="3">
    <mergeCell ref="A3:I6"/>
    <mergeCell ref="A11:I14"/>
    <mergeCell ref="G28:O3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101-4419-40E1-8F7E-CEF7CF8E0F99}">
  <dimension ref="A1:P109"/>
  <sheetViews>
    <sheetView topLeftCell="A82" zoomScale="85" zoomScaleNormal="85" workbookViewId="0">
      <selection activeCell="I58" sqref="I58:I59"/>
    </sheetView>
  </sheetViews>
  <sheetFormatPr defaultRowHeight="14.5" x14ac:dyDescent="0.35"/>
  <cols>
    <col min="1" max="2" width="8.7265625" style="1"/>
    <col min="3" max="3" width="18.7265625" style="1" customWidth="1"/>
    <col min="4" max="4" width="16.54296875" style="1" customWidth="1"/>
    <col min="5" max="5" width="11.6328125" style="1" customWidth="1"/>
    <col min="6" max="6" width="12.26953125" style="1" customWidth="1"/>
    <col min="7" max="7" width="11.1796875" style="1" customWidth="1"/>
    <col min="8" max="8" width="13.6328125" style="1" customWidth="1"/>
    <col min="9" max="9" width="11.81640625" style="1" customWidth="1"/>
    <col min="10" max="10" width="10.6328125" style="1" customWidth="1"/>
    <col min="11" max="11" width="13.453125" style="1" bestFit="1" customWidth="1"/>
    <col min="12" max="16384" width="8.7265625" style="1"/>
  </cols>
  <sheetData>
    <row r="1" spans="1:5" x14ac:dyDescent="0.35">
      <c r="A1" s="2" t="s">
        <v>39</v>
      </c>
    </row>
    <row r="3" spans="1:5" x14ac:dyDescent="0.35">
      <c r="B3" s="19" t="s">
        <v>38</v>
      </c>
      <c r="C3" s="1" t="s">
        <v>40</v>
      </c>
    </row>
    <row r="4" spans="1:5" x14ac:dyDescent="0.35">
      <c r="B4" s="19" t="s">
        <v>41</v>
      </c>
      <c r="C4" s="1" t="s">
        <v>43</v>
      </c>
    </row>
    <row r="5" spans="1:5" x14ac:dyDescent="0.35">
      <c r="B5" s="19" t="s">
        <v>42</v>
      </c>
      <c r="C5" s="1" t="s">
        <v>44</v>
      </c>
    </row>
    <row r="6" spans="1:5" x14ac:dyDescent="0.35">
      <c r="B6" s="19" t="s">
        <v>45</v>
      </c>
      <c r="C6" s="1" t="s">
        <v>46</v>
      </c>
    </row>
    <row r="8" spans="1:5" x14ac:dyDescent="0.35">
      <c r="B8" s="19" t="s">
        <v>47</v>
      </c>
      <c r="C8" s="20">
        <v>6</v>
      </c>
      <c r="D8" s="1" t="s">
        <v>48</v>
      </c>
      <c r="E8" s="22"/>
    </row>
    <row r="9" spans="1:5" x14ac:dyDescent="0.35">
      <c r="B9" s="19" t="s">
        <v>49</v>
      </c>
      <c r="C9" s="20">
        <v>0.25</v>
      </c>
      <c r="D9" s="1" t="s">
        <v>31</v>
      </c>
      <c r="E9" s="22" t="s">
        <v>122</v>
      </c>
    </row>
    <row r="10" spans="1:5" x14ac:dyDescent="0.35">
      <c r="B10" s="19" t="s">
        <v>52</v>
      </c>
      <c r="C10" s="20">
        <v>750</v>
      </c>
      <c r="D10" s="1" t="s">
        <v>31</v>
      </c>
      <c r="E10" s="46" t="s">
        <v>123</v>
      </c>
    </row>
    <row r="11" spans="1:5" x14ac:dyDescent="0.35">
      <c r="B11" s="19" t="s">
        <v>50</v>
      </c>
      <c r="C11" s="23">
        <v>6</v>
      </c>
      <c r="D11" s="1" t="s">
        <v>51</v>
      </c>
      <c r="E11" s="22" t="s">
        <v>125</v>
      </c>
    </row>
    <row r="13" spans="1:5" x14ac:dyDescent="0.35">
      <c r="A13" s="2" t="s">
        <v>53</v>
      </c>
    </row>
    <row r="15" spans="1:5" x14ac:dyDescent="0.35">
      <c r="B15" s="19" t="s">
        <v>54</v>
      </c>
      <c r="C15" s="1" t="s">
        <v>55</v>
      </c>
    </row>
    <row r="17" spans="1:3" x14ac:dyDescent="0.35">
      <c r="B17" s="24" t="s">
        <v>56</v>
      </c>
    </row>
    <row r="18" spans="1:3" x14ac:dyDescent="0.35">
      <c r="B18" s="1">
        <v>1</v>
      </c>
      <c r="C18" s="1" t="s">
        <v>71</v>
      </c>
    </row>
    <row r="19" spans="1:3" x14ac:dyDescent="0.35">
      <c r="B19" s="1">
        <v>2</v>
      </c>
      <c r="C19" s="1" t="s">
        <v>62</v>
      </c>
    </row>
    <row r="20" spans="1:3" x14ac:dyDescent="0.35">
      <c r="B20" s="25" t="s">
        <v>59</v>
      </c>
      <c r="C20" s="21" t="s">
        <v>60</v>
      </c>
    </row>
    <row r="22" spans="1:3" x14ac:dyDescent="0.35">
      <c r="B22" s="26" t="s">
        <v>57</v>
      </c>
      <c r="C22" s="1" t="s">
        <v>58</v>
      </c>
    </row>
    <row r="24" spans="1:3" x14ac:dyDescent="0.35">
      <c r="A24" s="2" t="s">
        <v>61</v>
      </c>
    </row>
    <row r="25" spans="1:3" x14ac:dyDescent="0.35">
      <c r="A25" s="2"/>
      <c r="B25" s="21" t="s">
        <v>73</v>
      </c>
    </row>
    <row r="43" spans="7:12" x14ac:dyDescent="0.35">
      <c r="G43" s="19" t="s">
        <v>64</v>
      </c>
      <c r="H43" s="1">
        <v>0.23</v>
      </c>
      <c r="I43" s="1" t="s">
        <v>31</v>
      </c>
    </row>
    <row r="44" spans="7:12" x14ac:dyDescent="0.35">
      <c r="G44" s="19" t="s">
        <v>52</v>
      </c>
      <c r="H44" s="1">
        <v>1219</v>
      </c>
      <c r="I44" s="1" t="s">
        <v>31</v>
      </c>
      <c r="J44" s="19" t="s">
        <v>66</v>
      </c>
      <c r="K44" s="1">
        <v>135</v>
      </c>
      <c r="L44" s="21" t="s">
        <v>75</v>
      </c>
    </row>
    <row r="45" spans="7:12" x14ac:dyDescent="0.35">
      <c r="G45" s="19" t="s">
        <v>65</v>
      </c>
      <c r="H45" s="1">
        <f>H44/K44</f>
        <v>9.0296296296296301</v>
      </c>
      <c r="I45" s="1" t="s">
        <v>63</v>
      </c>
    </row>
    <row r="46" spans="7:12" x14ac:dyDescent="0.35">
      <c r="G46" s="19" t="s">
        <v>67</v>
      </c>
      <c r="H46" s="1">
        <v>0.24</v>
      </c>
      <c r="I46" s="1" t="s">
        <v>51</v>
      </c>
    </row>
    <row r="47" spans="7:12" x14ac:dyDescent="0.35">
      <c r="G47" s="19" t="s">
        <v>68</v>
      </c>
      <c r="H47" s="27">
        <f>H46*H45</f>
        <v>2.1671111111111112</v>
      </c>
    </row>
    <row r="49" spans="2:11" x14ac:dyDescent="0.35">
      <c r="G49" s="19" t="s">
        <v>69</v>
      </c>
      <c r="H49" s="27">
        <f>1000/470</f>
        <v>2.1276595744680851</v>
      </c>
    </row>
    <row r="50" spans="2:11" x14ac:dyDescent="0.35">
      <c r="G50" s="19" t="s">
        <v>70</v>
      </c>
      <c r="H50" s="27">
        <f>ABS(H49-H47)</f>
        <v>3.9451536643026142E-2</v>
      </c>
      <c r="I50" s="28" t="s">
        <v>72</v>
      </c>
    </row>
    <row r="53" spans="2:11" x14ac:dyDescent="0.35">
      <c r="B53" s="21" t="s">
        <v>74</v>
      </c>
    </row>
    <row r="57" spans="2:11" x14ac:dyDescent="0.35">
      <c r="I57" s="29" t="s">
        <v>90</v>
      </c>
      <c r="J57" s="29" t="s">
        <v>91</v>
      </c>
      <c r="K57" s="29" t="s">
        <v>35</v>
      </c>
    </row>
    <row r="58" spans="2:11" x14ac:dyDescent="0.35">
      <c r="I58" s="1">
        <f>737/1000</f>
        <v>0.73699999999999999</v>
      </c>
      <c r="J58" s="27">
        <v>18000</v>
      </c>
      <c r="K58" s="35">
        <f>I58*J58</f>
        <v>13266</v>
      </c>
    </row>
    <row r="59" spans="2:11" x14ac:dyDescent="0.35">
      <c r="I59" s="1">
        <f>725/1000</f>
        <v>0.72499999999999998</v>
      </c>
      <c r="J59" s="27">
        <v>18000</v>
      </c>
      <c r="K59" s="35">
        <f t="shared" ref="K59:K60" si="0">I59*J59</f>
        <v>13050</v>
      </c>
    </row>
    <row r="60" spans="2:11" x14ac:dyDescent="0.35">
      <c r="I60" s="1">
        <f>698/1000</f>
        <v>0.69799999999999995</v>
      </c>
      <c r="J60" s="27">
        <v>18000</v>
      </c>
      <c r="K60" s="35">
        <f t="shared" si="0"/>
        <v>12564</v>
      </c>
    </row>
    <row r="63" spans="2:11" x14ac:dyDescent="0.35">
      <c r="B63" s="92" t="s">
        <v>124</v>
      </c>
      <c r="C63" s="92"/>
      <c r="D63" s="92"/>
      <c r="E63" s="92"/>
      <c r="F63" s="92" t="s">
        <v>82</v>
      </c>
      <c r="G63" s="92"/>
    </row>
    <row r="64" spans="2:11" ht="29" x14ac:dyDescent="0.35">
      <c r="B64" s="30" t="s">
        <v>77</v>
      </c>
      <c r="C64" s="30" t="s">
        <v>76</v>
      </c>
      <c r="D64" s="30" t="s">
        <v>78</v>
      </c>
      <c r="E64" s="31" t="s">
        <v>79</v>
      </c>
      <c r="F64" s="47" t="s">
        <v>80</v>
      </c>
      <c r="G64" s="47" t="s">
        <v>81</v>
      </c>
    </row>
    <row r="65" spans="1:16" x14ac:dyDescent="0.35">
      <c r="B65" s="32">
        <v>0.14000000000000001</v>
      </c>
      <c r="C65" s="32">
        <v>1219</v>
      </c>
      <c r="D65" s="32">
        <v>1.34</v>
      </c>
      <c r="E65" s="32">
        <v>755</v>
      </c>
      <c r="F65" s="33">
        <f>1000/E65</f>
        <v>1.3245033112582782</v>
      </c>
      <c r="G65" s="34">
        <f>ABS(D65-F65)</f>
        <v>1.5496688741721831E-2</v>
      </c>
      <c r="I65" s="1" t="s">
        <v>84</v>
      </c>
    </row>
    <row r="66" spans="1:16" x14ac:dyDescent="0.35">
      <c r="B66" s="32">
        <v>0.15</v>
      </c>
      <c r="C66" s="32">
        <v>1219</v>
      </c>
      <c r="D66" s="32">
        <v>1.44</v>
      </c>
      <c r="E66" s="32">
        <v>706</v>
      </c>
      <c r="F66" s="33">
        <f t="shared" ref="F66:F67" si="1">1000/E66</f>
        <v>1.4164305949008498</v>
      </c>
      <c r="G66" s="34">
        <f t="shared" ref="G66:G67" si="2">ABS(D66-F66)</f>
        <v>2.3569405099150176E-2</v>
      </c>
    </row>
    <row r="67" spans="1:16" x14ac:dyDescent="0.35">
      <c r="B67" s="32">
        <v>0.18</v>
      </c>
      <c r="C67" s="32">
        <v>1219</v>
      </c>
      <c r="D67" s="32">
        <v>1.72</v>
      </c>
      <c r="E67" s="32">
        <v>590</v>
      </c>
      <c r="F67" s="33">
        <f t="shared" si="1"/>
        <v>1.6949152542372881</v>
      </c>
      <c r="G67" s="34">
        <f t="shared" si="2"/>
        <v>2.5084745762711913E-2</v>
      </c>
    </row>
    <row r="70" spans="1:16" x14ac:dyDescent="0.35">
      <c r="A70" s="2" t="s">
        <v>83</v>
      </c>
    </row>
    <row r="72" spans="1:16" x14ac:dyDescent="0.35">
      <c r="B72" s="19" t="s">
        <v>54</v>
      </c>
      <c r="C72" s="1" t="s">
        <v>55</v>
      </c>
    </row>
    <row r="73" spans="1:16" x14ac:dyDescent="0.35">
      <c r="B73" s="19" t="s">
        <v>89</v>
      </c>
      <c r="C73" s="1" t="str">
        <f>C18</f>
        <v>GALVALUM MOTHER BORON 0.14-1219-AZ70-G550-</v>
      </c>
    </row>
    <row r="74" spans="1:16" x14ac:dyDescent="0.35">
      <c r="B74" s="19" t="s">
        <v>139</v>
      </c>
    </row>
    <row r="76" spans="1:16" x14ac:dyDescent="0.35">
      <c r="B76" s="30" t="s">
        <v>85</v>
      </c>
      <c r="C76" s="30" t="s">
        <v>86</v>
      </c>
      <c r="D76" s="30" t="s">
        <v>87</v>
      </c>
      <c r="E76" s="30" t="s">
        <v>130</v>
      </c>
      <c r="F76" s="30" t="s">
        <v>109</v>
      </c>
      <c r="G76" s="30" t="s">
        <v>129</v>
      </c>
      <c r="H76" s="30" t="s">
        <v>30</v>
      </c>
      <c r="I76" s="30" t="s">
        <v>35</v>
      </c>
    </row>
    <row r="77" spans="1:16" x14ac:dyDescent="0.35">
      <c r="B77" s="91" t="s">
        <v>96</v>
      </c>
      <c r="C77" s="91"/>
      <c r="D77" s="91"/>
      <c r="E77" s="91"/>
      <c r="F77" s="91"/>
      <c r="G77" s="91"/>
    </row>
    <row r="78" spans="1:16" x14ac:dyDescent="0.35">
      <c r="B78" s="32">
        <v>1</v>
      </c>
      <c r="C78" s="14" t="s">
        <v>88</v>
      </c>
      <c r="D78" s="37">
        <f>K58</f>
        <v>13266</v>
      </c>
      <c r="E78" s="14">
        <f>D65</f>
        <v>1.34</v>
      </c>
      <c r="F78" s="14"/>
      <c r="G78" s="38">
        <f>D78*E78</f>
        <v>17776.440000000002</v>
      </c>
      <c r="H78" s="1" t="s">
        <v>35</v>
      </c>
      <c r="I78" s="35">
        <f>G78/$E$78</f>
        <v>13266.000000000002</v>
      </c>
    </row>
    <row r="79" spans="1:16" x14ac:dyDescent="0.35">
      <c r="B79" s="93">
        <v>2</v>
      </c>
      <c r="C79" s="94" t="s">
        <v>93</v>
      </c>
      <c r="D79" s="95"/>
      <c r="E79" s="95"/>
      <c r="F79" s="96"/>
      <c r="G79" s="14"/>
      <c r="O79" s="1" t="s">
        <v>112</v>
      </c>
    </row>
    <row r="80" spans="1:16" ht="58" x14ac:dyDescent="0.35">
      <c r="B80" s="93"/>
      <c r="C80" s="39" t="s">
        <v>131</v>
      </c>
      <c r="D80" s="14"/>
      <c r="E80" s="14"/>
      <c r="F80" s="14"/>
      <c r="G80" s="40">
        <v>56809.5</v>
      </c>
      <c r="H80" s="1" t="s">
        <v>127</v>
      </c>
      <c r="I80" s="35">
        <f>G80/$E$78</f>
        <v>42395.149253731339</v>
      </c>
      <c r="J80" s="48">
        <f>SUM(I80:I82)</f>
        <v>42805.59701492537</v>
      </c>
      <c r="M80" s="1" t="s">
        <v>111</v>
      </c>
      <c r="O80" s="1">
        <v>1</v>
      </c>
      <c r="P80" s="1" t="s">
        <v>113</v>
      </c>
    </row>
    <row r="81" spans="2:13" ht="43.5" x14ac:dyDescent="0.35">
      <c r="B81" s="93"/>
      <c r="C81" s="39" t="s">
        <v>132</v>
      </c>
      <c r="D81" s="14"/>
      <c r="E81" s="14"/>
      <c r="F81" s="14"/>
      <c r="G81" s="40">
        <v>150</v>
      </c>
      <c r="H81" s="1" t="s">
        <v>127</v>
      </c>
      <c r="I81" s="35">
        <f>G81/$E$78</f>
        <v>111.94029850746269</v>
      </c>
      <c r="M81" s="1" t="s">
        <v>111</v>
      </c>
    </row>
    <row r="82" spans="2:13" x14ac:dyDescent="0.35">
      <c r="B82" s="93"/>
      <c r="C82" s="39" t="s">
        <v>133</v>
      </c>
      <c r="D82" s="14"/>
      <c r="E82" s="14"/>
      <c r="F82" s="14"/>
      <c r="G82" s="40">
        <v>400</v>
      </c>
      <c r="H82" s="1" t="s">
        <v>127</v>
      </c>
      <c r="I82" s="35">
        <f>G82/$E$78</f>
        <v>298.50746268656712</v>
      </c>
      <c r="M82" s="1" t="s">
        <v>111</v>
      </c>
    </row>
    <row r="83" spans="2:13" x14ac:dyDescent="0.35">
      <c r="B83" s="93">
        <v>3</v>
      </c>
      <c r="C83" s="97" t="s">
        <v>108</v>
      </c>
      <c r="D83" s="98"/>
      <c r="E83" s="98"/>
      <c r="F83" s="99"/>
      <c r="G83" s="14"/>
    </row>
    <row r="84" spans="2:13" ht="29" x14ac:dyDescent="0.35">
      <c r="B84" s="93"/>
      <c r="C84" s="39" t="s">
        <v>134</v>
      </c>
      <c r="D84" s="39" t="s">
        <v>110</v>
      </c>
      <c r="E84" s="14"/>
      <c r="F84" s="41">
        <v>0.05</v>
      </c>
      <c r="G84" s="38">
        <f>F84*$G$78</f>
        <v>888.82200000000012</v>
      </c>
      <c r="H84" s="1" t="s">
        <v>127</v>
      </c>
      <c r="I84" s="35">
        <f>G84/$E$78</f>
        <v>663.30000000000007</v>
      </c>
      <c r="J84" s="48">
        <f>SUM(I84:I86)</f>
        <v>1128.6200000000001</v>
      </c>
    </row>
    <row r="85" spans="2:13" ht="29" x14ac:dyDescent="0.35">
      <c r="B85" s="93"/>
      <c r="C85" s="14" t="s">
        <v>135</v>
      </c>
      <c r="D85" s="39" t="s">
        <v>110</v>
      </c>
      <c r="E85" s="14"/>
      <c r="F85" s="41">
        <v>0.02</v>
      </c>
      <c r="G85" s="38">
        <f>F85*$G$78</f>
        <v>355.52880000000005</v>
      </c>
      <c r="H85" s="1" t="s">
        <v>127</v>
      </c>
      <c r="I85" s="35">
        <f>G85/$E$78</f>
        <v>265.32</v>
      </c>
    </row>
    <row r="86" spans="2:13" ht="29" x14ac:dyDescent="0.35">
      <c r="B86" s="93"/>
      <c r="C86" s="39" t="s">
        <v>136</v>
      </c>
      <c r="D86" s="14"/>
      <c r="E86" s="14"/>
      <c r="F86" s="33">
        <v>200</v>
      </c>
      <c r="G86" s="38">
        <f>F86*E78</f>
        <v>268</v>
      </c>
      <c r="H86" s="1" t="s">
        <v>127</v>
      </c>
      <c r="I86" s="35">
        <f>G86/$E$78</f>
        <v>200</v>
      </c>
    </row>
    <row r="87" spans="2:13" x14ac:dyDescent="0.35">
      <c r="B87" s="91" t="s">
        <v>97</v>
      </c>
      <c r="C87" s="91"/>
      <c r="D87" s="91"/>
      <c r="E87" s="91"/>
      <c r="F87" s="91"/>
      <c r="G87" s="91"/>
    </row>
    <row r="88" spans="2:13" x14ac:dyDescent="0.35">
      <c r="B88" s="32">
        <v>4</v>
      </c>
      <c r="C88" s="14" t="s">
        <v>98</v>
      </c>
      <c r="D88" s="14" t="s">
        <v>114</v>
      </c>
      <c r="E88" s="14"/>
      <c r="F88" s="14"/>
      <c r="G88" s="14"/>
      <c r="H88" s="1" t="s">
        <v>127</v>
      </c>
    </row>
    <row r="89" spans="2:13" x14ac:dyDescent="0.35">
      <c r="B89" s="32">
        <v>5</v>
      </c>
      <c r="C89" s="14" t="s">
        <v>99</v>
      </c>
      <c r="D89" s="14" t="s">
        <v>114</v>
      </c>
      <c r="E89" s="14"/>
      <c r="F89" s="14"/>
      <c r="G89" s="14"/>
      <c r="H89" s="1" t="s">
        <v>127</v>
      </c>
    </row>
    <row r="90" spans="2:13" x14ac:dyDescent="0.35">
      <c r="B90" s="32">
        <v>6</v>
      </c>
      <c r="C90" s="14" t="s">
        <v>100</v>
      </c>
      <c r="D90" s="14" t="s">
        <v>114</v>
      </c>
      <c r="E90" s="14"/>
      <c r="F90" s="14"/>
      <c r="G90" s="14"/>
      <c r="H90" s="1" t="s">
        <v>127</v>
      </c>
    </row>
    <row r="91" spans="2:13" x14ac:dyDescent="0.35">
      <c r="B91" s="32">
        <v>7</v>
      </c>
      <c r="C91" s="14" t="s">
        <v>101</v>
      </c>
      <c r="D91" s="14" t="s">
        <v>114</v>
      </c>
      <c r="E91" s="14"/>
      <c r="F91" s="14"/>
      <c r="G91" s="14"/>
      <c r="H91" s="1" t="s">
        <v>127</v>
      </c>
    </row>
    <row r="92" spans="2:13" x14ac:dyDescent="0.35">
      <c r="B92" s="32">
        <v>8</v>
      </c>
      <c r="C92" s="14" t="s">
        <v>102</v>
      </c>
      <c r="D92" s="14" t="s">
        <v>114</v>
      </c>
      <c r="E92" s="14"/>
      <c r="F92" s="14"/>
      <c r="G92" s="14"/>
      <c r="H92" s="1" t="s">
        <v>127</v>
      </c>
      <c r="J92" s="1" t="s">
        <v>137</v>
      </c>
    </row>
    <row r="93" spans="2:13" x14ac:dyDescent="0.35">
      <c r="B93" s="32">
        <v>9</v>
      </c>
      <c r="C93" s="14" t="s">
        <v>103</v>
      </c>
      <c r="D93" s="14" t="s">
        <v>114</v>
      </c>
      <c r="E93" s="14"/>
      <c r="F93" s="41">
        <v>0.05</v>
      </c>
      <c r="G93" s="37">
        <f>F93*SUM(G78:G86)</f>
        <v>3832.4145400000002</v>
      </c>
      <c r="H93" s="1" t="s">
        <v>127</v>
      </c>
      <c r="I93" s="35">
        <f>G93/$E$78</f>
        <v>2860.0108507462687</v>
      </c>
      <c r="J93" s="1" t="s">
        <v>138</v>
      </c>
      <c r="K93" s="35">
        <f>1000*I93</f>
        <v>2860010.8507462689</v>
      </c>
    </row>
    <row r="94" spans="2:13" x14ac:dyDescent="0.35">
      <c r="B94" s="91" t="s">
        <v>104</v>
      </c>
      <c r="C94" s="91"/>
      <c r="D94" s="91"/>
      <c r="E94" s="91"/>
      <c r="F94" s="91"/>
      <c r="G94" s="91"/>
    </row>
    <row r="95" spans="2:13" x14ac:dyDescent="0.35">
      <c r="B95" s="14">
        <v>10</v>
      </c>
      <c r="C95" s="39" t="s">
        <v>105</v>
      </c>
      <c r="D95" s="14" t="s">
        <v>115</v>
      </c>
      <c r="E95" s="14"/>
      <c r="F95" s="14"/>
      <c r="G95" s="42">
        <f>(SUM(G78:G86))+SUM(G88:G93)</f>
        <v>80480.70534</v>
      </c>
      <c r="H95" s="1" t="s">
        <v>127</v>
      </c>
      <c r="I95" s="35">
        <f>G95/$E$78</f>
        <v>60060.227865671637</v>
      </c>
    </row>
    <row r="96" spans="2:13" ht="43.5" x14ac:dyDescent="0.35">
      <c r="B96" s="14">
        <v>11</v>
      </c>
      <c r="C96" s="39" t="s">
        <v>106</v>
      </c>
      <c r="D96" s="39" t="s">
        <v>116</v>
      </c>
      <c r="E96" s="14"/>
      <c r="F96" s="41">
        <v>0.05</v>
      </c>
      <c r="G96" s="38">
        <f>G95*F96</f>
        <v>4024.0352670000002</v>
      </c>
      <c r="I96" s="35">
        <f>G96/$E$78</f>
        <v>3003.011393283582</v>
      </c>
    </row>
    <row r="97" spans="1:9" ht="43.5" x14ac:dyDescent="0.35">
      <c r="B97" s="14">
        <v>12</v>
      </c>
      <c r="C97" s="39" t="s">
        <v>107</v>
      </c>
      <c r="D97" s="39" t="s">
        <v>117</v>
      </c>
      <c r="E97" s="14"/>
      <c r="F97" s="14"/>
      <c r="G97" s="43">
        <f>SUM(G95:G96)</f>
        <v>84504.740607</v>
      </c>
      <c r="H97" s="1" t="s">
        <v>127</v>
      </c>
      <c r="I97" s="48">
        <f>G97/$E$78</f>
        <v>63063.239258955218</v>
      </c>
    </row>
    <row r="99" spans="1:9" x14ac:dyDescent="0.35">
      <c r="A99" s="2" t="s">
        <v>120</v>
      </c>
    </row>
    <row r="101" spans="1:9" x14ac:dyDescent="0.35">
      <c r="B101" s="19" t="s">
        <v>54</v>
      </c>
      <c r="C101" s="1" t="s">
        <v>55</v>
      </c>
    </row>
    <row r="102" spans="1:9" x14ac:dyDescent="0.35">
      <c r="B102" s="19" t="s">
        <v>89</v>
      </c>
      <c r="C102" s="1" t="str">
        <f>C73</f>
        <v>GALVALUM MOTHER BORON 0.14-1219-AZ70-G550-</v>
      </c>
      <c r="F102" s="21" t="s">
        <v>121</v>
      </c>
    </row>
    <row r="104" spans="1:9" ht="29" x14ac:dyDescent="0.35">
      <c r="B104" s="30" t="s">
        <v>85</v>
      </c>
      <c r="C104" s="31" t="s">
        <v>118</v>
      </c>
      <c r="D104" s="31" t="s">
        <v>119</v>
      </c>
      <c r="E104" s="31" t="s">
        <v>141</v>
      </c>
      <c r="F104" s="31" t="s">
        <v>140</v>
      </c>
      <c r="G104" s="31" t="s">
        <v>142</v>
      </c>
      <c r="H104" s="31" t="s">
        <v>143</v>
      </c>
      <c r="I104" s="31" t="s">
        <v>140</v>
      </c>
    </row>
    <row r="105" spans="1:9" x14ac:dyDescent="0.35">
      <c r="B105" s="32">
        <v>1</v>
      </c>
      <c r="C105" s="45">
        <v>3</v>
      </c>
      <c r="D105" s="32">
        <f>$E$78</f>
        <v>1.34</v>
      </c>
      <c r="E105" s="37">
        <f>$G$97</f>
        <v>84504.740607</v>
      </c>
      <c r="F105" s="42">
        <f>C105*E105</f>
        <v>253514.22182099998</v>
      </c>
      <c r="G105" s="37">
        <f>$I$97</f>
        <v>63063.239258955218</v>
      </c>
      <c r="H105" s="42">
        <f>C105*D105</f>
        <v>4.0200000000000005</v>
      </c>
      <c r="I105" s="42">
        <f>G105*H105</f>
        <v>253514.22182100001</v>
      </c>
    </row>
    <row r="106" spans="1:9" x14ac:dyDescent="0.35">
      <c r="B106" s="32">
        <v>2</v>
      </c>
      <c r="C106" s="45">
        <v>4</v>
      </c>
      <c r="D106" s="32">
        <f t="shared" ref="D106:D109" si="3">$E$78</f>
        <v>1.34</v>
      </c>
      <c r="E106" s="37">
        <f t="shared" ref="E106:E109" si="4">$G$97</f>
        <v>84504.740607</v>
      </c>
      <c r="F106" s="42">
        <f>C106*E106</f>
        <v>338018.962428</v>
      </c>
      <c r="G106" s="37">
        <f t="shared" ref="G106:G109" si="5">$I$97</f>
        <v>63063.239258955218</v>
      </c>
      <c r="H106" s="42">
        <f t="shared" ref="H106:H109" si="6">C106*D106</f>
        <v>5.36</v>
      </c>
      <c r="I106" s="42">
        <f t="shared" ref="I106:I109" si="7">G106*H106</f>
        <v>338018.962428</v>
      </c>
    </row>
    <row r="107" spans="1:9" x14ac:dyDescent="0.35">
      <c r="B107" s="32">
        <v>3</v>
      </c>
      <c r="C107" s="45">
        <v>5</v>
      </c>
      <c r="D107" s="32">
        <f t="shared" si="3"/>
        <v>1.34</v>
      </c>
      <c r="E107" s="37">
        <f t="shared" si="4"/>
        <v>84504.740607</v>
      </c>
      <c r="F107" s="42">
        <f>C107*E107</f>
        <v>422523.70303500001</v>
      </c>
      <c r="G107" s="37">
        <f t="shared" si="5"/>
        <v>63063.239258955218</v>
      </c>
      <c r="H107" s="42">
        <f t="shared" si="6"/>
        <v>6.7</v>
      </c>
      <c r="I107" s="42">
        <f t="shared" si="7"/>
        <v>422523.70303499995</v>
      </c>
    </row>
    <row r="108" spans="1:9" x14ac:dyDescent="0.35">
      <c r="B108" s="32">
        <v>4</v>
      </c>
      <c r="C108" s="45">
        <v>6</v>
      </c>
      <c r="D108" s="32">
        <f t="shared" si="3"/>
        <v>1.34</v>
      </c>
      <c r="E108" s="37">
        <f t="shared" si="4"/>
        <v>84504.740607</v>
      </c>
      <c r="F108" s="42">
        <f>C108*E108</f>
        <v>507028.44364199997</v>
      </c>
      <c r="G108" s="37">
        <f t="shared" si="5"/>
        <v>63063.239258955218</v>
      </c>
      <c r="H108" s="42">
        <f t="shared" si="6"/>
        <v>8.0400000000000009</v>
      </c>
      <c r="I108" s="42">
        <f t="shared" si="7"/>
        <v>507028.44364200003</v>
      </c>
    </row>
    <row r="109" spans="1:9" x14ac:dyDescent="0.35">
      <c r="B109" s="32">
        <v>5</v>
      </c>
      <c r="C109" s="45">
        <v>7</v>
      </c>
      <c r="D109" s="32">
        <f t="shared" si="3"/>
        <v>1.34</v>
      </c>
      <c r="E109" s="37">
        <f t="shared" si="4"/>
        <v>84504.740607</v>
      </c>
      <c r="F109" s="42">
        <f>C109*E109</f>
        <v>591533.18424900004</v>
      </c>
      <c r="G109" s="37">
        <f t="shared" si="5"/>
        <v>63063.239258955218</v>
      </c>
      <c r="H109" s="42">
        <f t="shared" si="6"/>
        <v>9.3800000000000008</v>
      </c>
      <c r="I109" s="42">
        <f t="shared" si="7"/>
        <v>591533.18424900004</v>
      </c>
    </row>
  </sheetData>
  <mergeCells count="9">
    <mergeCell ref="B87:G87"/>
    <mergeCell ref="B94:G94"/>
    <mergeCell ref="B63:E63"/>
    <mergeCell ref="F63:G63"/>
    <mergeCell ref="B77:G77"/>
    <mergeCell ref="B79:B82"/>
    <mergeCell ref="C79:F79"/>
    <mergeCell ref="B83:B86"/>
    <mergeCell ref="C83:F8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790-E82F-420F-AB91-A5D0F8EA9647}">
  <dimension ref="A1:U111"/>
  <sheetViews>
    <sheetView tabSelected="1" zoomScale="85" zoomScaleNormal="85" workbookViewId="0">
      <selection activeCell="D6" sqref="D6"/>
    </sheetView>
  </sheetViews>
  <sheetFormatPr defaultRowHeight="14.5" x14ac:dyDescent="0.35"/>
  <cols>
    <col min="1" max="1" width="8.7265625" style="1"/>
    <col min="2" max="2" width="11.7265625" style="1" bestFit="1" customWidth="1"/>
    <col min="3" max="3" width="18.7265625" style="1" customWidth="1"/>
    <col min="4" max="4" width="23.453125" style="1" customWidth="1"/>
    <col min="5" max="5" width="29.7265625" style="1" customWidth="1"/>
    <col min="6" max="6" width="14.81640625" style="1" customWidth="1"/>
    <col min="7" max="7" width="12.81640625" style="1" customWidth="1"/>
    <col min="8" max="8" width="15.453125" style="1" customWidth="1"/>
    <col min="9" max="9" width="10.7265625" style="1" customWidth="1"/>
    <col min="10" max="10" width="12.1796875" style="1" customWidth="1"/>
    <col min="11" max="11" width="8.7265625" style="1"/>
    <col min="12" max="13" width="10.90625" style="1" bestFit="1" customWidth="1"/>
    <col min="14" max="16384" width="8.7265625" style="1"/>
  </cols>
  <sheetData>
    <row r="1" spans="1:13" x14ac:dyDescent="0.35">
      <c r="A1" s="2" t="s">
        <v>168</v>
      </c>
    </row>
    <row r="3" spans="1:13" x14ac:dyDescent="0.35">
      <c r="A3" s="2" t="s">
        <v>188</v>
      </c>
    </row>
    <row r="4" spans="1:13" x14ac:dyDescent="0.35">
      <c r="A4" s="2"/>
    </row>
    <row r="5" spans="1:13" x14ac:dyDescent="0.35">
      <c r="B5" s="30" t="s">
        <v>169</v>
      </c>
      <c r="C5" s="30" t="s">
        <v>170</v>
      </c>
      <c r="D5" s="30" t="s">
        <v>171</v>
      </c>
      <c r="E5" s="30" t="s">
        <v>172</v>
      </c>
      <c r="F5" s="30" t="s">
        <v>173</v>
      </c>
      <c r="G5" s="30" t="s">
        <v>77</v>
      </c>
      <c r="H5" s="30" t="s">
        <v>76</v>
      </c>
    </row>
    <row r="6" spans="1:13" ht="29" x14ac:dyDescent="0.35">
      <c r="B6" s="14" t="s">
        <v>40</v>
      </c>
      <c r="C6" s="14" t="s">
        <v>43</v>
      </c>
      <c r="D6" s="14" t="s">
        <v>187</v>
      </c>
      <c r="E6" s="39" t="s">
        <v>186</v>
      </c>
      <c r="F6" s="32">
        <v>6</v>
      </c>
      <c r="G6" s="32">
        <v>0.25</v>
      </c>
      <c r="H6" s="32">
        <v>750</v>
      </c>
    </row>
    <row r="8" spans="1:13" x14ac:dyDescent="0.35">
      <c r="A8" s="2" t="s">
        <v>174</v>
      </c>
    </row>
    <row r="10" spans="1:13" x14ac:dyDescent="0.35">
      <c r="B10" s="30" t="s">
        <v>175</v>
      </c>
      <c r="C10" s="30" t="s">
        <v>176</v>
      </c>
      <c r="D10" s="30" t="s">
        <v>177</v>
      </c>
      <c r="E10" s="30" t="s">
        <v>178</v>
      </c>
      <c r="F10" s="30" t="s">
        <v>179</v>
      </c>
      <c r="G10" s="30" t="s">
        <v>180</v>
      </c>
      <c r="H10" s="36" t="s">
        <v>92</v>
      </c>
      <c r="I10" s="44" t="s">
        <v>181</v>
      </c>
    </row>
    <row r="11" spans="1:13" ht="29" x14ac:dyDescent="0.35">
      <c r="B11" s="14" t="s">
        <v>182</v>
      </c>
      <c r="C11" s="14" t="s">
        <v>183</v>
      </c>
      <c r="D11" s="14" t="s">
        <v>184</v>
      </c>
      <c r="E11" s="39" t="s">
        <v>71</v>
      </c>
      <c r="F11" s="58">
        <v>914</v>
      </c>
      <c r="G11" s="32">
        <v>0.14000000000000001</v>
      </c>
      <c r="H11" s="57">
        <v>1.34</v>
      </c>
    </row>
    <row r="12" spans="1:13" ht="29" x14ac:dyDescent="0.35">
      <c r="B12" s="14" t="s">
        <v>182</v>
      </c>
      <c r="C12" s="14" t="s">
        <v>183</v>
      </c>
      <c r="D12" s="14" t="s">
        <v>184</v>
      </c>
      <c r="E12" s="39" t="s">
        <v>62</v>
      </c>
      <c r="F12" s="58">
        <v>914</v>
      </c>
      <c r="G12" s="32">
        <v>0.15</v>
      </c>
      <c r="H12" s="57">
        <v>1.44</v>
      </c>
    </row>
    <row r="13" spans="1:13" x14ac:dyDescent="0.35">
      <c r="E13" s="78"/>
      <c r="F13" s="79"/>
      <c r="G13" s="20"/>
    </row>
    <row r="14" spans="1:13" x14ac:dyDescent="0.35">
      <c r="A14" s="2" t="s">
        <v>273</v>
      </c>
      <c r="E14" s="78"/>
      <c r="F14" s="79"/>
      <c r="G14" s="20"/>
    </row>
    <row r="15" spans="1:13" x14ac:dyDescent="0.35">
      <c r="B15" s="1" t="s">
        <v>275</v>
      </c>
      <c r="E15" s="78"/>
      <c r="F15" s="80" t="s">
        <v>283</v>
      </c>
      <c r="G15" s="20"/>
    </row>
    <row r="16" spans="1:13" ht="29" x14ac:dyDescent="0.35">
      <c r="B16" s="30" t="s">
        <v>175</v>
      </c>
      <c r="C16" s="30" t="s">
        <v>176</v>
      </c>
      <c r="D16" s="30" t="s">
        <v>177</v>
      </c>
      <c r="E16" s="30" t="s">
        <v>178</v>
      </c>
      <c r="F16" s="30" t="s">
        <v>277</v>
      </c>
      <c r="G16" s="30" t="s">
        <v>278</v>
      </c>
      <c r="H16" s="30" t="s">
        <v>279</v>
      </c>
      <c r="I16" s="30" t="s">
        <v>280</v>
      </c>
      <c r="J16" s="30" t="s">
        <v>281</v>
      </c>
      <c r="K16" s="30" t="s">
        <v>282</v>
      </c>
      <c r="L16" s="30" t="s">
        <v>284</v>
      </c>
      <c r="M16" s="31" t="s">
        <v>285</v>
      </c>
    </row>
    <row r="17" spans="2:13" ht="29" x14ac:dyDescent="0.35">
      <c r="B17" s="14" t="s">
        <v>182</v>
      </c>
      <c r="C17" s="14" t="s">
        <v>183</v>
      </c>
      <c r="D17" s="14" t="s">
        <v>184</v>
      </c>
      <c r="E17" s="39" t="str">
        <f>E11</f>
        <v>GALVALUM MOTHER BORON 0.14-1219-AZ70-G550-</v>
      </c>
      <c r="F17" s="58">
        <v>0.8</v>
      </c>
      <c r="G17" s="32"/>
      <c r="H17" s="32">
        <v>0.81</v>
      </c>
      <c r="I17" s="32"/>
      <c r="J17" s="32"/>
      <c r="K17" s="32">
        <v>0.73699999999999999</v>
      </c>
      <c r="L17" s="32">
        <f>K17</f>
        <v>0.73699999999999999</v>
      </c>
      <c r="M17" s="34">
        <f>AVERAGE(F17:K17)</f>
        <v>0.78233333333333333</v>
      </c>
    </row>
    <row r="18" spans="2:13" ht="29" x14ac:dyDescent="0.35">
      <c r="B18" s="14" t="s">
        <v>182</v>
      </c>
      <c r="C18" s="14" t="s">
        <v>183</v>
      </c>
      <c r="D18" s="14" t="s">
        <v>184</v>
      </c>
      <c r="E18" s="39" t="str">
        <f>E12</f>
        <v>GALVALUM MOTHER BORON 0.15-1219-AZ70-G550-</v>
      </c>
      <c r="F18" s="58">
        <v>0.79</v>
      </c>
      <c r="G18" s="32"/>
      <c r="H18" s="32">
        <v>0.8</v>
      </c>
      <c r="I18" s="32"/>
      <c r="J18" s="32"/>
      <c r="K18" s="32">
        <v>0.72499999999999998</v>
      </c>
      <c r="L18" s="32">
        <f>K18</f>
        <v>0.72499999999999998</v>
      </c>
      <c r="M18" s="34">
        <f>AVERAGE(F18:K18)</f>
        <v>0.77166666666666661</v>
      </c>
    </row>
    <row r="19" spans="2:13" x14ac:dyDescent="0.35">
      <c r="E19" s="78"/>
      <c r="F19" s="79"/>
      <c r="G19" s="20"/>
    </row>
    <row r="20" spans="2:13" x14ac:dyDescent="0.35">
      <c r="E20" s="78"/>
      <c r="F20" s="79"/>
      <c r="G20" s="20"/>
    </row>
    <row r="21" spans="2:13" x14ac:dyDescent="0.35">
      <c r="B21" s="1" t="s">
        <v>292</v>
      </c>
      <c r="E21" s="78"/>
      <c r="F21" s="79"/>
      <c r="G21" s="20"/>
    </row>
    <row r="22" spans="2:13" x14ac:dyDescent="0.35">
      <c r="B22" s="30" t="s">
        <v>85</v>
      </c>
      <c r="C22" s="30" t="s">
        <v>293</v>
      </c>
      <c r="D22" s="30" t="s">
        <v>91</v>
      </c>
      <c r="E22" s="30" t="s">
        <v>295</v>
      </c>
      <c r="F22" s="30" t="s">
        <v>296</v>
      </c>
      <c r="G22" s="20"/>
    </row>
    <row r="23" spans="2:13" x14ac:dyDescent="0.35">
      <c r="B23" s="32">
        <v>1</v>
      </c>
      <c r="C23" s="14" t="s">
        <v>294</v>
      </c>
      <c r="D23" s="83">
        <v>17863</v>
      </c>
      <c r="E23" s="60">
        <v>46301</v>
      </c>
      <c r="F23" s="14" t="s">
        <v>297</v>
      </c>
      <c r="G23" s="20"/>
    </row>
    <row r="24" spans="2:13" x14ac:dyDescent="0.35">
      <c r="E24" s="78"/>
      <c r="F24" s="79"/>
      <c r="G24" s="20"/>
    </row>
    <row r="25" spans="2:13" x14ac:dyDescent="0.35">
      <c r="E25" s="78"/>
      <c r="F25" s="79"/>
      <c r="G25" s="20"/>
    </row>
    <row r="26" spans="2:13" x14ac:dyDescent="0.35">
      <c r="B26" s="1" t="s">
        <v>276</v>
      </c>
      <c r="E26" s="78"/>
      <c r="F26" s="79"/>
      <c r="G26" s="20"/>
    </row>
    <row r="27" spans="2:13" ht="43.5" x14ac:dyDescent="0.35">
      <c r="B27" s="30" t="s">
        <v>175</v>
      </c>
      <c r="C27" s="30" t="s">
        <v>176</v>
      </c>
      <c r="D27" s="30" t="s">
        <v>177</v>
      </c>
      <c r="E27" s="30" t="s">
        <v>178</v>
      </c>
      <c r="F27" s="31" t="s">
        <v>274</v>
      </c>
      <c r="G27" s="31" t="s">
        <v>286</v>
      </c>
      <c r="H27" s="31" t="s">
        <v>287</v>
      </c>
      <c r="I27" s="31" t="s">
        <v>298</v>
      </c>
      <c r="J27" s="31" t="s">
        <v>299</v>
      </c>
    </row>
    <row r="28" spans="2:13" ht="29" x14ac:dyDescent="0.35">
      <c r="B28" s="14" t="s">
        <v>182</v>
      </c>
      <c r="C28" s="14" t="s">
        <v>183</v>
      </c>
      <c r="D28" s="14" t="s">
        <v>184</v>
      </c>
      <c r="E28" s="39" t="str">
        <f>E17</f>
        <v>GALVALUM MOTHER BORON 0.14-1219-AZ70-G550-</v>
      </c>
      <c r="F28" s="81">
        <f>L17</f>
        <v>0.73699999999999999</v>
      </c>
      <c r="G28" s="51">
        <f>M17</f>
        <v>0.78233333333333333</v>
      </c>
      <c r="H28" s="57" t="s">
        <v>288</v>
      </c>
      <c r="I28" s="32">
        <f>IF(H28="Harga Terakhir",F28,G28)</f>
        <v>0.73699999999999999</v>
      </c>
      <c r="J28" s="51">
        <f>I28*$D$23</f>
        <v>13165.030999999999</v>
      </c>
      <c r="K28" s="44" t="s">
        <v>289</v>
      </c>
    </row>
    <row r="29" spans="2:13" ht="29" x14ac:dyDescent="0.35">
      <c r="B29" s="14" t="s">
        <v>182</v>
      </c>
      <c r="C29" s="14" t="s">
        <v>183</v>
      </c>
      <c r="D29" s="14" t="s">
        <v>184</v>
      </c>
      <c r="E29" s="39" t="str">
        <f>E18</f>
        <v>GALVALUM MOTHER BORON 0.15-1219-AZ70-G550-</v>
      </c>
      <c r="F29" s="81">
        <f>L18</f>
        <v>0.72499999999999998</v>
      </c>
      <c r="G29" s="51">
        <f>M18</f>
        <v>0.77166666666666661</v>
      </c>
      <c r="H29" s="57" t="s">
        <v>288</v>
      </c>
      <c r="I29" s="82">
        <f>IF(H29="Harga Terakhir",F29,G29)</f>
        <v>0.72499999999999998</v>
      </c>
      <c r="J29" s="51">
        <f>I29*$D$23</f>
        <v>12950.674999999999</v>
      </c>
      <c r="K29" s="44" t="s">
        <v>289</v>
      </c>
    </row>
    <row r="30" spans="2:13" x14ac:dyDescent="0.35">
      <c r="E30" s="78"/>
      <c r="F30" s="79"/>
      <c r="G30" s="20"/>
    </row>
    <row r="31" spans="2:13" x14ac:dyDescent="0.35">
      <c r="E31" s="78"/>
      <c r="F31" s="79"/>
      <c r="G31" s="20"/>
    </row>
    <row r="33" spans="1:21" x14ac:dyDescent="0.35">
      <c r="A33" s="2" t="s">
        <v>185</v>
      </c>
    </row>
    <row r="35" spans="1:21" x14ac:dyDescent="0.35">
      <c r="B35" s="59" t="s">
        <v>193</v>
      </c>
    </row>
    <row r="36" spans="1:21" x14ac:dyDescent="0.35">
      <c r="B36" s="30" t="s">
        <v>85</v>
      </c>
      <c r="C36" s="30" t="s">
        <v>202</v>
      </c>
      <c r="D36" s="30" t="s">
        <v>192</v>
      </c>
      <c r="E36" s="30" t="s">
        <v>189</v>
      </c>
      <c r="F36" s="30" t="s">
        <v>194</v>
      </c>
      <c r="G36" s="30" t="s">
        <v>195</v>
      </c>
      <c r="H36" s="30" t="s">
        <v>196</v>
      </c>
      <c r="I36" s="92" t="s">
        <v>198</v>
      </c>
      <c r="J36" s="92"/>
      <c r="K36" s="92"/>
    </row>
    <row r="37" spans="1:21" ht="29" x14ac:dyDescent="0.35">
      <c r="B37" s="32">
        <v>1</v>
      </c>
      <c r="C37" s="14" t="s">
        <v>190</v>
      </c>
      <c r="D37" s="39" t="str">
        <f>E6</f>
        <v>HARAPAN SPANDEK POLOS ECO 0.25 X 6 M</v>
      </c>
      <c r="E37" s="39" t="str">
        <f>E11</f>
        <v>GALVALUM MOTHER BORON 0.14-1219-AZ70-G550-</v>
      </c>
      <c r="F37" s="58">
        <f>VLOOKUP(E37,$E$11:$G$12,3,0)</f>
        <v>0.14000000000000001</v>
      </c>
      <c r="G37" s="60">
        <v>46301</v>
      </c>
      <c r="H37" s="32" t="s">
        <v>197</v>
      </c>
      <c r="I37" s="45" t="s">
        <v>199</v>
      </c>
      <c r="J37" s="61" t="s">
        <v>200</v>
      </c>
      <c r="K37" s="62" t="s">
        <v>201</v>
      </c>
      <c r="L37" s="44" t="s">
        <v>290</v>
      </c>
    </row>
    <row r="38" spans="1:21" ht="29" x14ac:dyDescent="0.35">
      <c r="B38" s="32">
        <v>2</v>
      </c>
      <c r="C38" s="14" t="s">
        <v>191</v>
      </c>
      <c r="D38" s="39" t="str">
        <f>E6</f>
        <v>HARAPAN SPANDEK POLOS ECO 0.25 X 6 M</v>
      </c>
      <c r="E38" s="39" t="str">
        <f>E12</f>
        <v>GALVALUM MOTHER BORON 0.15-1219-AZ70-G550-</v>
      </c>
      <c r="F38" s="58">
        <f>VLOOKUP(E38,$E$11:$G$12,3,0)</f>
        <v>0.15</v>
      </c>
      <c r="G38" s="60">
        <v>46301</v>
      </c>
      <c r="H38" s="32" t="s">
        <v>197</v>
      </c>
      <c r="I38" s="45" t="s">
        <v>199</v>
      </c>
      <c r="J38" s="61" t="s">
        <v>200</v>
      </c>
      <c r="K38" s="62" t="s">
        <v>201</v>
      </c>
      <c r="L38" s="44" t="s">
        <v>291</v>
      </c>
    </row>
    <row r="41" spans="1:21" x14ac:dyDescent="0.35">
      <c r="A41" s="2" t="s">
        <v>208</v>
      </c>
    </row>
    <row r="43" spans="1:21" ht="29" x14ac:dyDescent="0.35">
      <c r="B43" s="30" t="s">
        <v>85</v>
      </c>
      <c r="C43" s="30" t="s">
        <v>170</v>
      </c>
      <c r="D43" s="30" t="s">
        <v>203</v>
      </c>
      <c r="E43" s="30" t="s">
        <v>205</v>
      </c>
      <c r="F43" s="30" t="s">
        <v>212</v>
      </c>
      <c r="G43" s="31" t="s">
        <v>213</v>
      </c>
      <c r="H43" s="30" t="s">
        <v>214</v>
      </c>
      <c r="I43" s="30" t="s">
        <v>215</v>
      </c>
      <c r="R43" s="1" t="s">
        <v>209</v>
      </c>
    </row>
    <row r="44" spans="1:21" x14ac:dyDescent="0.35">
      <c r="B44" s="32">
        <v>1</v>
      </c>
      <c r="C44" s="14" t="s">
        <v>43</v>
      </c>
      <c r="D44" s="39" t="s">
        <v>204</v>
      </c>
      <c r="E44" s="39" t="s">
        <v>210</v>
      </c>
      <c r="F44" s="58" t="s">
        <v>43</v>
      </c>
      <c r="G44" s="34">
        <f>T46</f>
        <v>4.1666666666666664E-2</v>
      </c>
      <c r="H44" s="32">
        <v>1</v>
      </c>
      <c r="I44" s="63">
        <f>(G44*H44)/60</f>
        <v>6.9444444444444436E-4</v>
      </c>
      <c r="R44" s="1">
        <v>24</v>
      </c>
      <c r="S44" s="1" t="s">
        <v>206</v>
      </c>
      <c r="T44" s="1">
        <v>60</v>
      </c>
      <c r="U44" s="1" t="s">
        <v>207</v>
      </c>
    </row>
    <row r="45" spans="1:21" x14ac:dyDescent="0.35">
      <c r="B45" s="32"/>
      <c r="C45" s="14"/>
      <c r="D45" s="39"/>
      <c r="E45" s="39"/>
      <c r="F45" s="58"/>
      <c r="G45" s="60"/>
      <c r="H45" s="32"/>
      <c r="I45" s="32"/>
      <c r="R45" s="1">
        <v>1</v>
      </c>
      <c r="S45" s="1" t="s">
        <v>206</v>
      </c>
      <c r="T45" s="1">
        <f>R46*T44</f>
        <v>2.5</v>
      </c>
      <c r="U45" s="1" t="s">
        <v>207</v>
      </c>
    </row>
    <row r="46" spans="1:21" x14ac:dyDescent="0.35">
      <c r="R46" s="1">
        <f>R45/R44</f>
        <v>4.1666666666666664E-2</v>
      </c>
      <c r="T46" s="1">
        <f>T45/T44</f>
        <v>4.1666666666666664E-2</v>
      </c>
      <c r="U46" s="1" t="s">
        <v>211</v>
      </c>
    </row>
    <row r="47" spans="1:21" x14ac:dyDescent="0.35">
      <c r="T47" s="1">
        <f>T46/60</f>
        <v>6.9444444444444436E-4</v>
      </c>
    </row>
    <row r="54" spans="1:6" x14ac:dyDescent="0.35">
      <c r="A54" s="2" t="s">
        <v>216</v>
      </c>
    </row>
    <row r="56" spans="1:6" ht="29" x14ac:dyDescent="0.35">
      <c r="A56" s="59" t="s">
        <v>217</v>
      </c>
      <c r="B56" s="64" t="s">
        <v>218</v>
      </c>
      <c r="C56" s="75" t="s">
        <v>219</v>
      </c>
      <c r="D56" s="64" t="s">
        <v>15</v>
      </c>
      <c r="E56" s="64" t="s">
        <v>128</v>
      </c>
      <c r="F56" s="64" t="s">
        <v>198</v>
      </c>
    </row>
    <row r="57" spans="1:6" x14ac:dyDescent="0.35">
      <c r="B57" s="65">
        <v>1</v>
      </c>
      <c r="C57" s="66" t="s">
        <v>220</v>
      </c>
      <c r="D57" s="67">
        <v>4828884</v>
      </c>
      <c r="E57" s="66" t="s">
        <v>221</v>
      </c>
      <c r="F57" s="68" t="s">
        <v>201</v>
      </c>
    </row>
    <row r="58" spans="1:6" x14ac:dyDescent="0.35">
      <c r="B58" s="65">
        <v>2</v>
      </c>
      <c r="C58" s="66" t="s">
        <v>222</v>
      </c>
      <c r="D58" s="67">
        <v>15000</v>
      </c>
      <c r="E58" s="66" t="s">
        <v>221</v>
      </c>
      <c r="F58" s="68" t="s">
        <v>201</v>
      </c>
    </row>
    <row r="59" spans="1:6" x14ac:dyDescent="0.35">
      <c r="B59" s="65">
        <v>3</v>
      </c>
      <c r="C59" s="66" t="s">
        <v>223</v>
      </c>
      <c r="D59" s="67">
        <v>100000</v>
      </c>
      <c r="E59" s="66" t="s">
        <v>221</v>
      </c>
      <c r="F59" s="68" t="s">
        <v>201</v>
      </c>
    </row>
    <row r="60" spans="1:6" x14ac:dyDescent="0.35">
      <c r="B60" s="65">
        <v>4</v>
      </c>
      <c r="C60" s="66" t="s">
        <v>224</v>
      </c>
      <c r="D60" s="67">
        <v>402407</v>
      </c>
      <c r="E60" s="66" t="s">
        <v>221</v>
      </c>
      <c r="F60" s="68" t="s">
        <v>201</v>
      </c>
    </row>
    <row r="61" spans="1:6" x14ac:dyDescent="0.35">
      <c r="B61" s="65">
        <v>5</v>
      </c>
      <c r="C61" s="66" t="s">
        <v>225</v>
      </c>
      <c r="D61" s="67">
        <v>193155.36</v>
      </c>
      <c r="E61" s="66" t="s">
        <v>221</v>
      </c>
      <c r="F61" s="68" t="s">
        <v>201</v>
      </c>
    </row>
    <row r="62" spans="1:6" x14ac:dyDescent="0.35">
      <c r="B62" s="65">
        <v>6</v>
      </c>
      <c r="C62" s="66" t="s">
        <v>226</v>
      </c>
      <c r="D62" s="67">
        <v>200000</v>
      </c>
      <c r="E62" s="66" t="s">
        <v>227</v>
      </c>
      <c r="F62" s="68" t="s">
        <v>201</v>
      </c>
    </row>
    <row r="63" spans="1:6" x14ac:dyDescent="0.35">
      <c r="B63" s="65">
        <v>7</v>
      </c>
      <c r="C63" s="66" t="s">
        <v>99</v>
      </c>
      <c r="D63" s="67">
        <v>225000</v>
      </c>
      <c r="E63" s="66" t="s">
        <v>227</v>
      </c>
      <c r="F63" s="68" t="s">
        <v>201</v>
      </c>
    </row>
    <row r="64" spans="1:6" x14ac:dyDescent="0.35">
      <c r="B64" s="65"/>
      <c r="C64" s="66"/>
      <c r="D64" s="69">
        <f>SUM(D57:D63)</f>
        <v>5964446.3600000003</v>
      </c>
      <c r="E64" s="66"/>
    </row>
    <row r="65" spans="1:6" x14ac:dyDescent="0.35">
      <c r="A65" s="59" t="s">
        <v>217</v>
      </c>
      <c r="B65" s="64" t="s">
        <v>218</v>
      </c>
      <c r="C65" s="70" t="s">
        <v>228</v>
      </c>
      <c r="D65" s="64" t="s">
        <v>15</v>
      </c>
      <c r="E65" s="64" t="s">
        <v>128</v>
      </c>
    </row>
    <row r="66" spans="1:6" x14ac:dyDescent="0.35">
      <c r="B66" s="65">
        <v>1</v>
      </c>
      <c r="C66" s="66" t="s">
        <v>229</v>
      </c>
      <c r="D66" s="67">
        <v>40671.35</v>
      </c>
      <c r="E66" s="66" t="s">
        <v>230</v>
      </c>
      <c r="F66" s="68" t="s">
        <v>201</v>
      </c>
    </row>
    <row r="67" spans="1:6" x14ac:dyDescent="0.35">
      <c r="B67" s="65">
        <v>2</v>
      </c>
      <c r="C67" s="66" t="s">
        <v>231</v>
      </c>
      <c r="D67" s="67">
        <v>13709.45</v>
      </c>
      <c r="E67" s="66" t="s">
        <v>232</v>
      </c>
      <c r="F67" s="68" t="s">
        <v>201</v>
      </c>
    </row>
    <row r="68" spans="1:6" x14ac:dyDescent="0.35">
      <c r="B68" s="65">
        <v>3</v>
      </c>
      <c r="C68" s="66" t="s">
        <v>233</v>
      </c>
      <c r="D68" s="67">
        <v>169083.16</v>
      </c>
      <c r="E68" s="66" t="s">
        <v>234</v>
      </c>
      <c r="F68" s="68" t="s">
        <v>201</v>
      </c>
    </row>
    <row r="69" spans="1:6" x14ac:dyDescent="0.35">
      <c r="B69" s="65">
        <v>4</v>
      </c>
      <c r="C69" s="66" t="s">
        <v>235</v>
      </c>
      <c r="D69" s="67">
        <v>91396.3</v>
      </c>
      <c r="E69" s="66" t="s">
        <v>236</v>
      </c>
      <c r="F69" s="68" t="s">
        <v>201</v>
      </c>
    </row>
    <row r="70" spans="1:6" x14ac:dyDescent="0.35">
      <c r="B70" s="65">
        <v>5</v>
      </c>
      <c r="C70" s="66" t="s">
        <v>237</v>
      </c>
      <c r="D70" s="67">
        <v>182792.6</v>
      </c>
      <c r="E70" s="66" t="s">
        <v>238</v>
      </c>
      <c r="F70" s="68" t="s">
        <v>201</v>
      </c>
    </row>
    <row r="71" spans="1:6" x14ac:dyDescent="0.35">
      <c r="B71" s="65"/>
      <c r="C71" s="66"/>
      <c r="D71" s="69">
        <f>SUM(D66:D70)</f>
        <v>497652.86</v>
      </c>
      <c r="E71" s="66"/>
    </row>
    <row r="72" spans="1:6" x14ac:dyDescent="0.35">
      <c r="A72" s="59" t="s">
        <v>217</v>
      </c>
      <c r="B72" s="64" t="s">
        <v>218</v>
      </c>
      <c r="C72" s="70" t="s">
        <v>239</v>
      </c>
      <c r="D72" s="64" t="s">
        <v>15</v>
      </c>
      <c r="E72" s="70"/>
    </row>
    <row r="73" spans="1:6" x14ac:dyDescent="0.35">
      <c r="B73" s="65">
        <v>1</v>
      </c>
      <c r="C73" s="66" t="s">
        <v>240</v>
      </c>
      <c r="D73" s="67">
        <v>29333.33</v>
      </c>
      <c r="E73" s="66" t="s">
        <v>241</v>
      </c>
      <c r="F73" s="68" t="s">
        <v>201</v>
      </c>
    </row>
    <row r="74" spans="1:6" x14ac:dyDescent="0.35">
      <c r="B74" s="65">
        <v>2</v>
      </c>
      <c r="C74" s="66" t="s">
        <v>242</v>
      </c>
      <c r="D74" s="67">
        <v>26250</v>
      </c>
      <c r="E74" s="66" t="s">
        <v>241</v>
      </c>
      <c r="F74" s="68" t="s">
        <v>201</v>
      </c>
    </row>
    <row r="75" spans="1:6" x14ac:dyDescent="0.35">
      <c r="B75" s="65">
        <v>3</v>
      </c>
      <c r="C75" s="66" t="s">
        <v>243</v>
      </c>
      <c r="D75" s="67">
        <v>10000</v>
      </c>
      <c r="E75" s="66" t="s">
        <v>241</v>
      </c>
      <c r="F75" s="68" t="s">
        <v>201</v>
      </c>
    </row>
    <row r="76" spans="1:6" x14ac:dyDescent="0.35">
      <c r="B76" s="65">
        <v>4</v>
      </c>
      <c r="C76" s="66" t="s">
        <v>244</v>
      </c>
      <c r="D76" s="67">
        <v>14300</v>
      </c>
      <c r="E76" s="66" t="s">
        <v>245</v>
      </c>
      <c r="F76" s="68" t="s">
        <v>201</v>
      </c>
    </row>
    <row r="77" spans="1:6" x14ac:dyDescent="0.35">
      <c r="B77" s="65">
        <v>5</v>
      </c>
      <c r="C77" s="66" t="s">
        <v>246</v>
      </c>
      <c r="D77" s="67">
        <v>10000</v>
      </c>
      <c r="E77" s="66" t="s">
        <v>245</v>
      </c>
      <c r="F77" s="68" t="s">
        <v>201</v>
      </c>
    </row>
    <row r="78" spans="1:6" x14ac:dyDescent="0.35">
      <c r="B78" s="65"/>
      <c r="C78" s="66"/>
      <c r="D78" s="69">
        <f>SUM(D73:D77)</f>
        <v>89883.33</v>
      </c>
      <c r="E78" s="66"/>
    </row>
    <row r="79" spans="1:6" x14ac:dyDescent="0.35">
      <c r="B79" s="64"/>
      <c r="C79" s="70"/>
      <c r="D79" s="71"/>
      <c r="E79" s="70"/>
    </row>
    <row r="80" spans="1:6" x14ac:dyDescent="0.35">
      <c r="B80" s="64"/>
      <c r="C80" s="70" t="s">
        <v>247</v>
      </c>
      <c r="D80" s="72">
        <f>D64+D71+D78</f>
        <v>6551982.5500000007</v>
      </c>
      <c r="E80" s="70"/>
    </row>
    <row r="81" spans="1:6" x14ac:dyDescent="0.35">
      <c r="B81" s="64"/>
      <c r="C81" s="71" t="s">
        <v>248</v>
      </c>
      <c r="D81" s="72">
        <f>ROUNDUP(D80/173,0)</f>
        <v>37873</v>
      </c>
      <c r="E81" s="73" t="s">
        <v>249</v>
      </c>
    </row>
    <row r="82" spans="1:6" x14ac:dyDescent="0.35">
      <c r="B82" s="14"/>
      <c r="C82" s="71" t="s">
        <v>250</v>
      </c>
      <c r="D82" s="74">
        <v>1.5</v>
      </c>
      <c r="E82" s="14"/>
    </row>
    <row r="83" spans="1:6" x14ac:dyDescent="0.35">
      <c r="B83" s="14"/>
      <c r="C83" s="71" t="s">
        <v>251</v>
      </c>
      <c r="D83" s="72">
        <f>D81*D82</f>
        <v>56809.5</v>
      </c>
      <c r="E83" s="14" t="s">
        <v>252</v>
      </c>
    </row>
    <row r="84" spans="1:6" x14ac:dyDescent="0.35">
      <c r="B84" s="14"/>
      <c r="C84" s="14"/>
      <c r="D84" s="14"/>
      <c r="E84" s="14"/>
    </row>
    <row r="85" spans="1:6" x14ac:dyDescent="0.35">
      <c r="E85" s="59" t="s">
        <v>253</v>
      </c>
    </row>
    <row r="86" spans="1:6" x14ac:dyDescent="0.35">
      <c r="B86" s="84" t="s">
        <v>300</v>
      </c>
      <c r="C86" s="1" t="s">
        <v>301</v>
      </c>
    </row>
    <row r="87" spans="1:6" x14ac:dyDescent="0.35">
      <c r="C87" s="85">
        <f>D83*I44</f>
        <v>39.451041666666661</v>
      </c>
    </row>
    <row r="89" spans="1:6" x14ac:dyDescent="0.35">
      <c r="A89" s="2" t="s">
        <v>254</v>
      </c>
    </row>
    <row r="91" spans="1:6" ht="29" x14ac:dyDescent="0.35">
      <c r="B91" s="30" t="s">
        <v>85</v>
      </c>
      <c r="C91" s="30" t="s">
        <v>170</v>
      </c>
      <c r="D91" s="31" t="s">
        <v>255</v>
      </c>
      <c r="E91" s="30" t="s">
        <v>256</v>
      </c>
    </row>
    <row r="92" spans="1:6" x14ac:dyDescent="0.35">
      <c r="B92" s="32">
        <v>1</v>
      </c>
      <c r="C92" s="39" t="s">
        <v>257</v>
      </c>
      <c r="D92" s="45">
        <v>150</v>
      </c>
      <c r="E92" s="76">
        <v>400</v>
      </c>
      <c r="F92" s="44" t="s">
        <v>258</v>
      </c>
    </row>
    <row r="95" spans="1:6" x14ac:dyDescent="0.35">
      <c r="A95" s="2" t="s">
        <v>259</v>
      </c>
    </row>
    <row r="97" spans="2:5" x14ac:dyDescent="0.35">
      <c r="B97" s="30" t="s">
        <v>85</v>
      </c>
      <c r="C97" s="30" t="s">
        <v>86</v>
      </c>
      <c r="D97" s="30" t="s">
        <v>260</v>
      </c>
      <c r="E97" s="30" t="s">
        <v>261</v>
      </c>
    </row>
    <row r="98" spans="2:5" x14ac:dyDescent="0.35">
      <c r="B98" s="102" t="s">
        <v>96</v>
      </c>
      <c r="C98" s="103"/>
      <c r="D98" s="103"/>
      <c r="E98" s="103"/>
    </row>
    <row r="99" spans="2:5" x14ac:dyDescent="0.35">
      <c r="B99" s="104">
        <v>3</v>
      </c>
      <c r="C99" s="107" t="s">
        <v>262</v>
      </c>
      <c r="D99" s="108"/>
    </row>
    <row r="100" spans="2:5" ht="29" x14ac:dyDescent="0.35">
      <c r="B100" s="105"/>
      <c r="C100" s="39" t="s">
        <v>263</v>
      </c>
      <c r="D100" s="14" t="s">
        <v>264</v>
      </c>
      <c r="E100" s="41">
        <v>0.05</v>
      </c>
    </row>
    <row r="101" spans="2:5" x14ac:dyDescent="0.35">
      <c r="B101" s="105"/>
      <c r="C101" s="39" t="s">
        <v>94</v>
      </c>
      <c r="D101" s="14" t="s">
        <v>264</v>
      </c>
      <c r="E101" s="41">
        <v>0.02</v>
      </c>
    </row>
    <row r="102" spans="2:5" x14ac:dyDescent="0.35">
      <c r="B102" s="106"/>
      <c r="C102" s="39" t="s">
        <v>95</v>
      </c>
      <c r="D102" s="14" t="s">
        <v>267</v>
      </c>
      <c r="E102" s="77">
        <v>200</v>
      </c>
    </row>
    <row r="103" spans="2:5" x14ac:dyDescent="0.35">
      <c r="B103" s="100" t="s">
        <v>97</v>
      </c>
      <c r="C103" s="101"/>
      <c r="D103" s="101"/>
      <c r="E103" s="101"/>
    </row>
    <row r="104" spans="2:5" x14ac:dyDescent="0.35">
      <c r="B104" s="32">
        <v>4</v>
      </c>
      <c r="C104" s="14" t="s">
        <v>98</v>
      </c>
      <c r="D104" s="14" t="s">
        <v>265</v>
      </c>
      <c r="E104" s="86"/>
    </row>
    <row r="105" spans="2:5" x14ac:dyDescent="0.35">
      <c r="B105" s="32">
        <v>5</v>
      </c>
      <c r="C105" s="14" t="s">
        <v>99</v>
      </c>
      <c r="D105" s="14" t="s">
        <v>265</v>
      </c>
      <c r="E105" s="86"/>
    </row>
    <row r="106" spans="2:5" x14ac:dyDescent="0.35">
      <c r="B106" s="32">
        <v>6</v>
      </c>
      <c r="C106" s="14" t="s">
        <v>100</v>
      </c>
      <c r="D106" s="14" t="s">
        <v>265</v>
      </c>
      <c r="E106" s="86"/>
    </row>
    <row r="107" spans="2:5" x14ac:dyDescent="0.35">
      <c r="B107" s="32">
        <v>7</v>
      </c>
      <c r="C107" s="14" t="s">
        <v>101</v>
      </c>
      <c r="D107" s="14" t="s">
        <v>265</v>
      </c>
      <c r="E107" s="86"/>
    </row>
    <row r="108" spans="2:5" x14ac:dyDescent="0.35">
      <c r="B108" s="32">
        <v>8</v>
      </c>
      <c r="C108" s="14" t="s">
        <v>102</v>
      </c>
      <c r="D108" s="14" t="s">
        <v>265</v>
      </c>
      <c r="E108" s="86"/>
    </row>
    <row r="109" spans="2:5" x14ac:dyDescent="0.35">
      <c r="B109" s="32">
        <v>9</v>
      </c>
      <c r="C109" s="14" t="s">
        <v>103</v>
      </c>
      <c r="D109" s="14" t="s">
        <v>265</v>
      </c>
      <c r="E109" s="41">
        <v>0.05</v>
      </c>
    </row>
    <row r="110" spans="2:5" x14ac:dyDescent="0.35">
      <c r="B110" s="100" t="s">
        <v>104</v>
      </c>
      <c r="C110" s="101"/>
      <c r="D110" s="101"/>
      <c r="E110" s="101"/>
    </row>
    <row r="111" spans="2:5" ht="43.5" x14ac:dyDescent="0.35">
      <c r="B111" s="32">
        <v>10</v>
      </c>
      <c r="C111" s="39" t="s">
        <v>106</v>
      </c>
      <c r="D111" s="14" t="s">
        <v>266</v>
      </c>
      <c r="E111" s="41">
        <v>0.05</v>
      </c>
    </row>
  </sheetData>
  <mergeCells count="6">
    <mergeCell ref="B110:E110"/>
    <mergeCell ref="I36:K36"/>
    <mergeCell ref="B98:E98"/>
    <mergeCell ref="B99:B102"/>
    <mergeCell ref="C99:D99"/>
    <mergeCell ref="B103:E103"/>
  </mergeCells>
  <dataValidations disablePrompts="1" count="1">
    <dataValidation type="list" allowBlank="1" showInputMessage="1" showErrorMessage="1" sqref="H28:H29" xr:uid="{9AF1F13D-FEF0-4FAA-8270-527980862AE9}">
      <formula1>"Pilih Keputusan,Harga Terakhir,Harga Rata-Rata"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9793-B6C6-4040-966B-17EDE073FD64}">
  <dimension ref="A2:AR9"/>
  <sheetViews>
    <sheetView zoomScale="85" zoomScaleNormal="85" workbookViewId="0">
      <pane xSplit="3" ySplit="3" topLeftCell="V4" activePane="bottomRight" state="frozen"/>
      <selection pane="topRight" activeCell="D1" sqref="D1"/>
      <selection pane="bottomLeft" activeCell="A4" sqref="A4"/>
      <selection pane="bottomRight" activeCell="W3" sqref="W3"/>
    </sheetView>
  </sheetViews>
  <sheetFormatPr defaultRowHeight="14.5" x14ac:dyDescent="0.35"/>
  <cols>
    <col min="1" max="1" width="8.7265625" style="1"/>
    <col min="2" max="2" width="18.26953125" style="1" customWidth="1"/>
    <col min="3" max="3" width="22.7265625" style="1" customWidth="1"/>
    <col min="4" max="4" width="18.1796875" style="1" customWidth="1"/>
    <col min="5" max="5" width="17" style="1" customWidth="1"/>
    <col min="6" max="6" width="10.90625" style="1" customWidth="1"/>
    <col min="7" max="7" width="13.26953125" style="1" customWidth="1"/>
    <col min="8" max="8" width="12.26953125" style="1" customWidth="1"/>
    <col min="9" max="9" width="10.81640625" style="1" bestFit="1" customWidth="1"/>
    <col min="10" max="16" width="12.08984375" style="1" bestFit="1" customWidth="1"/>
    <col min="17" max="19" width="12.08984375" style="1" customWidth="1"/>
    <col min="20" max="20" width="12.90625" style="1" customWidth="1"/>
    <col min="21" max="21" width="12.08984375" style="1" customWidth="1"/>
    <col min="22" max="23" width="12.08984375" style="1" bestFit="1" customWidth="1"/>
    <col min="24" max="24" width="20" style="1" customWidth="1"/>
    <col min="25" max="25" width="11.81640625" style="1" bestFit="1" customWidth="1"/>
    <col min="26" max="31" width="12.08984375" style="1" bestFit="1" customWidth="1"/>
    <col min="32" max="32" width="15.08984375" style="1" bestFit="1" customWidth="1"/>
    <col min="33" max="37" width="15.08984375" style="1" customWidth="1"/>
    <col min="38" max="38" width="17.7265625" style="1" bestFit="1" customWidth="1"/>
    <col min="39" max="39" width="14.6328125" style="1" bestFit="1" customWidth="1"/>
    <col min="40" max="40" width="20" style="1" customWidth="1"/>
    <col min="41" max="41" width="14.6328125" style="1" bestFit="1" customWidth="1"/>
    <col min="42" max="44" width="13.1796875" style="1" customWidth="1"/>
    <col min="45" max="16384" width="8.7265625" style="1"/>
  </cols>
  <sheetData>
    <row r="2" spans="1:44" x14ac:dyDescent="0.35">
      <c r="A2" s="2" t="s">
        <v>161</v>
      </c>
      <c r="E2" s="49" t="s">
        <v>148</v>
      </c>
      <c r="J2" s="92" t="s">
        <v>159</v>
      </c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 t="s">
        <v>160</v>
      </c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110" t="s">
        <v>167</v>
      </c>
      <c r="AQ2" s="110"/>
      <c r="AR2" s="110"/>
    </row>
    <row r="3" spans="1:44" ht="43.5" x14ac:dyDescent="0.35">
      <c r="A3" s="30" t="s">
        <v>85</v>
      </c>
      <c r="B3" s="30" t="s">
        <v>126</v>
      </c>
      <c r="C3" s="31" t="s">
        <v>145</v>
      </c>
      <c r="D3" s="30" t="s">
        <v>302</v>
      </c>
      <c r="E3" s="31" t="s">
        <v>144</v>
      </c>
      <c r="F3" s="31" t="s">
        <v>146</v>
      </c>
      <c r="G3" s="31" t="s">
        <v>147</v>
      </c>
      <c r="H3" s="30" t="s">
        <v>92</v>
      </c>
      <c r="I3" s="31" t="s">
        <v>149</v>
      </c>
      <c r="J3" s="30" t="s">
        <v>150</v>
      </c>
      <c r="K3" s="31" t="s">
        <v>151</v>
      </c>
      <c r="L3" s="31" t="s">
        <v>152</v>
      </c>
      <c r="M3" s="31" t="s">
        <v>153</v>
      </c>
      <c r="N3" s="31" t="s">
        <v>154</v>
      </c>
      <c r="O3" s="31" t="s">
        <v>155</v>
      </c>
      <c r="P3" s="31" t="s">
        <v>156</v>
      </c>
      <c r="Q3" s="31" t="s">
        <v>268</v>
      </c>
      <c r="R3" s="31" t="s">
        <v>269</v>
      </c>
      <c r="S3" s="31" t="s">
        <v>270</v>
      </c>
      <c r="T3" s="31" t="s">
        <v>271</v>
      </c>
      <c r="U3" s="31" t="s">
        <v>272</v>
      </c>
      <c r="V3" s="31" t="s">
        <v>157</v>
      </c>
      <c r="W3" s="31" t="s">
        <v>105</v>
      </c>
      <c r="X3" s="31" t="s">
        <v>158</v>
      </c>
      <c r="Y3" s="54" t="s">
        <v>162</v>
      </c>
      <c r="Z3" s="30" t="s">
        <v>150</v>
      </c>
      <c r="AA3" s="31" t="s">
        <v>151</v>
      </c>
      <c r="AB3" s="31" t="s">
        <v>152</v>
      </c>
      <c r="AC3" s="31" t="s">
        <v>153</v>
      </c>
      <c r="AD3" s="31" t="s">
        <v>154</v>
      </c>
      <c r="AE3" s="31" t="s">
        <v>155</v>
      </c>
      <c r="AF3" s="31" t="s">
        <v>156</v>
      </c>
      <c r="AG3" s="31" t="s">
        <v>268</v>
      </c>
      <c r="AH3" s="31" t="s">
        <v>269</v>
      </c>
      <c r="AI3" s="31" t="s">
        <v>270</v>
      </c>
      <c r="AJ3" s="31" t="s">
        <v>271</v>
      </c>
      <c r="AK3" s="31" t="s">
        <v>272</v>
      </c>
      <c r="AL3" s="31" t="s">
        <v>157</v>
      </c>
      <c r="AM3" s="31" t="s">
        <v>105</v>
      </c>
      <c r="AN3" s="31" t="s">
        <v>158</v>
      </c>
      <c r="AO3" s="54" t="s">
        <v>163</v>
      </c>
      <c r="AP3" s="55" t="s">
        <v>164</v>
      </c>
      <c r="AQ3" s="55" t="s">
        <v>165</v>
      </c>
      <c r="AR3" s="55" t="s">
        <v>166</v>
      </c>
    </row>
    <row r="4" spans="1:44" ht="43.5" x14ac:dyDescent="0.35">
      <c r="A4" s="93">
        <v>1</v>
      </c>
      <c r="B4" s="109" t="str">
        <f>'Simulasi Program'!D37</f>
        <v>HARAPAN SPANDEK POLOS ECO 0.25 X 6 M</v>
      </c>
      <c r="C4" s="39" t="str">
        <f>'Simulasi Program'!E37</f>
        <v>GALVALUM MOTHER BORON 0.14-1219-AZ70-G550-</v>
      </c>
      <c r="D4" s="39" t="str">
        <f>'Simulasi Program'!C37</f>
        <v>Type 001.1</v>
      </c>
      <c r="E4" s="50">
        <f>'Simulasi Program'!I28</f>
        <v>0.73699999999999999</v>
      </c>
      <c r="F4" s="34">
        <f>'Simulasi Program'!$D$23</f>
        <v>17863</v>
      </c>
      <c r="G4" s="51">
        <f>'Simulasi Program'!$J$28</f>
        <v>13165.030999999999</v>
      </c>
      <c r="H4" s="32">
        <f>'Simulasi Program'!H11</f>
        <v>1.34</v>
      </c>
      <c r="I4" s="33">
        <f>G4*H4</f>
        <v>17641.141540000001</v>
      </c>
      <c r="J4" s="38">
        <f>I4</f>
        <v>17641.141540000001</v>
      </c>
      <c r="K4" s="38">
        <f>'Simulasi Program'!$C$87</f>
        <v>39.451041666666661</v>
      </c>
      <c r="L4" s="38">
        <f>'Simulasi Program'!$D$92</f>
        <v>150</v>
      </c>
      <c r="M4" s="38">
        <f>'Simulasi Program'!$E$92</f>
        <v>400</v>
      </c>
      <c r="N4" s="38">
        <f>J4*5%</f>
        <v>882.05707700000005</v>
      </c>
      <c r="O4" s="38">
        <f>J4*2%</f>
        <v>352.82283080000002</v>
      </c>
      <c r="P4" s="38">
        <f>200*H4</f>
        <v>268</v>
      </c>
      <c r="Q4" s="52">
        <f>(SUM($J$4:$P$4))*'Simulasi Program'!$E$104</f>
        <v>0</v>
      </c>
      <c r="R4" s="52">
        <f>(SUM($J$4:$P$4))*'Simulasi Program'!$E$105</f>
        <v>0</v>
      </c>
      <c r="S4" s="52">
        <f>(SUM($J$4:$P$4))*'Simulasi Program'!$E$106</f>
        <v>0</v>
      </c>
      <c r="T4" s="52">
        <f>(SUM($J$4:$P$4))*'Simulasi Program'!$E$107</f>
        <v>0</v>
      </c>
      <c r="U4" s="52">
        <f>(SUM($J$4:$P$4))*'Simulasi Program'!$E$108</f>
        <v>0</v>
      </c>
      <c r="V4" s="52">
        <f>(SUM($J$4:$P$4))*'Simulasi Program'!$E$109</f>
        <v>986.67362447333346</v>
      </c>
      <c r="W4" s="53">
        <f>SUM(J4:V4)</f>
        <v>20720.146113940002</v>
      </c>
      <c r="X4" s="53">
        <f>W4*'Simulasi Program'!$E$111</f>
        <v>1036.0073056970002</v>
      </c>
      <c r="Y4" s="43">
        <f>SUM(W4:X4)</f>
        <v>21756.153419637001</v>
      </c>
      <c r="Z4" s="38">
        <f>G4</f>
        <v>13165.030999999999</v>
      </c>
      <c r="AA4" s="38">
        <f>K4/$H4</f>
        <v>29.44107587064676</v>
      </c>
      <c r="AB4" s="38">
        <f t="shared" ref="AB4:AF5" si="0">L4/$H4</f>
        <v>111.94029850746269</v>
      </c>
      <c r="AC4" s="38">
        <f t="shared" si="0"/>
        <v>298.50746268656712</v>
      </c>
      <c r="AD4" s="38">
        <f>Z4*'Simulasi Program'!$E$100</f>
        <v>658.25154999999995</v>
      </c>
      <c r="AE4" s="38">
        <f>'Simulasi Program'!$E$101*Z4</f>
        <v>263.30061999999998</v>
      </c>
      <c r="AF4" s="38">
        <f t="shared" si="0"/>
        <v>200</v>
      </c>
      <c r="AG4" s="52">
        <f>(SUM(Z4:AF4))*'Simulasi Program'!$E$104</f>
        <v>0</v>
      </c>
      <c r="AH4" s="52">
        <f>(SUM(Z4:AF4))*'Simulasi Program'!$E$105</f>
        <v>0</v>
      </c>
      <c r="AI4" s="52">
        <f>(SUM(Z4:AF4))*'Simulasi Program'!$E$106</f>
        <v>0</v>
      </c>
      <c r="AJ4" s="52">
        <f>(SUM(Z4:AF4))*'Simulasi Program'!$E$107</f>
        <v>0</v>
      </c>
      <c r="AK4" s="52">
        <f>(SUM(Z4:AF4))*'Simulasi Program'!$E$108</f>
        <v>0</v>
      </c>
      <c r="AL4" s="52">
        <f>(SUM(Z4:AF4))*'Simulasi Program'!$E$109</f>
        <v>736.32360035323393</v>
      </c>
      <c r="AM4" s="53">
        <f>SUM(Z4:AL4)</f>
        <v>15462.795607417913</v>
      </c>
      <c r="AN4" s="53">
        <f>AM4*5%</f>
        <v>773.13978037089566</v>
      </c>
      <c r="AO4" s="43">
        <f>SUM(AM4:AN4)</f>
        <v>16235.935387788808</v>
      </c>
      <c r="AP4" s="56">
        <v>6</v>
      </c>
      <c r="AQ4" s="56">
        <f>AP4*Y4</f>
        <v>130536.920517822</v>
      </c>
      <c r="AR4" s="56">
        <f>AP4*H4*AO4</f>
        <v>130536.92051782203</v>
      </c>
    </row>
    <row r="5" spans="1:44" ht="43.5" x14ac:dyDescent="0.35">
      <c r="A5" s="93"/>
      <c r="B5" s="109"/>
      <c r="C5" s="39" t="str">
        <f>'Simulasi Program'!E38</f>
        <v>GALVALUM MOTHER BORON 0.15-1219-AZ70-G550-</v>
      </c>
      <c r="D5" s="39" t="str">
        <f>'Simulasi Program'!C38</f>
        <v>Type 001.2</v>
      </c>
      <c r="E5" s="50">
        <f>'Simulasi Program'!I29</f>
        <v>0.72499999999999998</v>
      </c>
      <c r="F5" s="34">
        <f>'Simulasi Program'!$D$23</f>
        <v>17863</v>
      </c>
      <c r="G5" s="51">
        <f>'Simulasi Program'!$J$28</f>
        <v>13165.030999999999</v>
      </c>
      <c r="H5" s="32">
        <f>'Simulasi Program'!H12</f>
        <v>1.44</v>
      </c>
      <c r="I5" s="33">
        <f>G5*H5</f>
        <v>18957.644639999999</v>
      </c>
      <c r="J5" s="38">
        <f>I5</f>
        <v>18957.644639999999</v>
      </c>
      <c r="K5" s="38">
        <f>'Simulasi Program'!$C$87</f>
        <v>39.451041666666661</v>
      </c>
      <c r="L5" s="38">
        <f>'Simulasi Program'!$D$92</f>
        <v>150</v>
      </c>
      <c r="M5" s="38">
        <f>'Simulasi Program'!$E$92</f>
        <v>400</v>
      </c>
      <c r="N5" s="38">
        <f>J5*5%</f>
        <v>947.88223199999993</v>
      </c>
      <c r="O5" s="38">
        <f>J5*2%</f>
        <v>379.15289279999996</v>
      </c>
      <c r="P5" s="38">
        <f>200*H5</f>
        <v>288</v>
      </c>
      <c r="Q5" s="52">
        <f>(SUM($J$5:$P$5))*'Simulasi Program'!$E$104</f>
        <v>0</v>
      </c>
      <c r="R5" s="52">
        <f>(SUM($J$5:$P$5))*'Simulasi Program'!$E$105</f>
        <v>0</v>
      </c>
      <c r="S5" s="52">
        <f>(SUM($J$5:$P$5))*'Simulasi Program'!$E$106</f>
        <v>0</v>
      </c>
      <c r="T5" s="52">
        <f>(SUM($J$5:$P$5))*'Simulasi Program'!$E$107</f>
        <v>0</v>
      </c>
      <c r="U5" s="52">
        <f>(SUM($J$5:$P$5))*'Simulasi Program'!$E$108</f>
        <v>0</v>
      </c>
      <c r="V5" s="52">
        <f>(SUM($J$5:$P$5))*'Simulasi Program'!$E$109</f>
        <v>1058.1065403233333</v>
      </c>
      <c r="W5" s="53">
        <f>SUM(J5:V5)</f>
        <v>22220.23734679</v>
      </c>
      <c r="X5" s="53">
        <f>W5*'Simulasi Program'!$E$111</f>
        <v>1111.0118673395</v>
      </c>
      <c r="Y5" s="43">
        <f>SUM(W5:X5)</f>
        <v>23331.249214129501</v>
      </c>
      <c r="Z5" s="38">
        <f>G5</f>
        <v>13165.030999999999</v>
      </c>
      <c r="AA5" s="38">
        <f>K5/$H5</f>
        <v>27.396556712962962</v>
      </c>
      <c r="AB5" s="38">
        <f t="shared" si="0"/>
        <v>104.16666666666667</v>
      </c>
      <c r="AC5" s="38">
        <f t="shared" si="0"/>
        <v>277.77777777777777</v>
      </c>
      <c r="AD5" s="38">
        <f>Z5*'Simulasi Program'!$E$100</f>
        <v>658.25154999999995</v>
      </c>
      <c r="AE5" s="38">
        <f>'Simulasi Program'!$E$101*Z5</f>
        <v>263.30061999999998</v>
      </c>
      <c r="AF5" s="38">
        <f t="shared" si="0"/>
        <v>200</v>
      </c>
      <c r="AG5" s="52">
        <f>(SUM(Z5:AF5))*'Simulasi Program'!$E$104</f>
        <v>0</v>
      </c>
      <c r="AH5" s="52">
        <f>(SUM(Z5:AF5))*'Simulasi Program'!$E$105</f>
        <v>0</v>
      </c>
      <c r="AI5" s="52">
        <f>(SUM(Z5:AF5))*'Simulasi Program'!$E$106</f>
        <v>0</v>
      </c>
      <c r="AJ5" s="52">
        <f>(SUM(Z5:AF5))*'Simulasi Program'!$E$107</f>
        <v>0</v>
      </c>
      <c r="AK5" s="52">
        <f>(SUM(Z5:AF5))*'Simulasi Program'!$E$108</f>
        <v>0</v>
      </c>
      <c r="AL5" s="52">
        <f>(SUM(Z5:AF5))*'Simulasi Program'!$E$109</f>
        <v>734.79620855787027</v>
      </c>
      <c r="AM5" s="53">
        <f>SUM(Z5:AL5)</f>
        <v>15430.720379715276</v>
      </c>
      <c r="AN5" s="53">
        <f>AM5*5%</f>
        <v>771.5360189857638</v>
      </c>
      <c r="AO5" s="43">
        <f>SUM(AM5:AN5)</f>
        <v>16202.25639870104</v>
      </c>
      <c r="AP5" s="56">
        <v>6</v>
      </c>
      <c r="AQ5" s="56">
        <f>AP5*Y5</f>
        <v>139987.49528477702</v>
      </c>
      <c r="AR5" s="56">
        <f>AP5*H5*AO5</f>
        <v>139987.49528477699</v>
      </c>
    </row>
    <row r="7" spans="1:44" x14ac:dyDescent="0.35">
      <c r="Z7" s="35"/>
    </row>
    <row r="9" spans="1:44" x14ac:dyDescent="0.35">
      <c r="X9" s="84" t="s">
        <v>303</v>
      </c>
      <c r="Y9" s="87">
        <v>27400</v>
      </c>
      <c r="Z9" s="1" t="s">
        <v>304</v>
      </c>
    </row>
  </sheetData>
  <mergeCells count="5">
    <mergeCell ref="B4:B5"/>
    <mergeCell ref="A4:A5"/>
    <mergeCell ref="J2:Y2"/>
    <mergeCell ref="Z2:AO2"/>
    <mergeCell ref="AP2:AR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Ide</vt:lpstr>
      <vt:lpstr>Simulasi ide (copy)per kg</vt:lpstr>
      <vt:lpstr>Simulasi Program</vt:lpstr>
      <vt:lpstr>Simulasi Costing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Dan</dc:creator>
  <cp:lastModifiedBy>Rama Dan</cp:lastModifiedBy>
  <dcterms:created xsi:type="dcterms:W3CDTF">2026-10-02T08:50:12Z</dcterms:created>
  <dcterms:modified xsi:type="dcterms:W3CDTF">2026-10-07T04:30:40Z</dcterms:modified>
</cp:coreProperties>
</file>