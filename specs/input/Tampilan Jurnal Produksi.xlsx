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si\Documents\SS baru\Improvement\Project\4. PT HFG dan HSJ\3. Mock Up\Produksi\Mock Up\"/>
    </mc:Choice>
  </mc:AlternateContent>
  <xr:revisionPtr revIDLastSave="0" documentId="13_ncr:1_{13A377D7-0248-426B-BCFB-A2A31BC130D7}" xr6:coauthVersionLast="47" xr6:coauthVersionMax="47" xr10:uidLastSave="{00000000-0000-0000-0000-000000000000}"/>
  <bookViews>
    <workbookView xWindow="-110" yWindow="-110" windowWidth="19420" windowHeight="11020" xr2:uid="{B8525847-C847-4907-9150-921EFD1F42C3}"/>
  </bookViews>
  <sheets>
    <sheet name="Konsep yang akan dipakai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89" i="2" l="1"/>
  <c r="H189" i="2"/>
  <c r="J186" i="2"/>
  <c r="I186" i="2"/>
  <c r="H186" i="2"/>
  <c r="G142" i="2"/>
  <c r="F142" i="2"/>
  <c r="V118" i="2"/>
  <c r="U118" i="2"/>
  <c r="T118" i="2"/>
  <c r="S118" i="2"/>
  <c r="R118" i="2"/>
  <c r="Q118" i="2"/>
  <c r="P118" i="2"/>
  <c r="D102" i="2"/>
  <c r="G76" i="2"/>
  <c r="G75" i="2"/>
  <c r="G70" i="2"/>
  <c r="G69" i="2"/>
</calcChain>
</file>

<file path=xl/sharedStrings.xml><?xml version="1.0" encoding="utf-8"?>
<sst xmlns="http://schemas.openxmlformats.org/spreadsheetml/2006/main" count="574" uniqueCount="309">
  <si>
    <t>Konsep pemakaian baby dari Laporan Unpack, WIP dan Hold untuk Produksi</t>
  </si>
  <si>
    <t>Laporan Pack</t>
  </si>
  <si>
    <t>1. Unpack Baby Coil (Data dari Gudang Produksi 2):</t>
  </si>
  <si>
    <t>Actual Weight</t>
  </si>
  <si>
    <t>Packing List Weight</t>
  </si>
  <si>
    <t>Pack</t>
  </si>
  <si>
    <t>Material</t>
  </si>
  <si>
    <t>Babycoil</t>
  </si>
  <si>
    <t>Net weight per Roll</t>
  </si>
  <si>
    <t>Gross Weight Per Roll</t>
  </si>
  <si>
    <t>(No. Uniq Pack)</t>
  </si>
  <si>
    <t>(Nama Material di Pack)</t>
  </si>
  <si>
    <t>(Jumlah Baby Coil Material dalam Pack)</t>
  </si>
  <si>
    <t>(Total Nett Weight per Roll Babycoil berdasarkan berat aktual)</t>
  </si>
  <si>
    <t>(Total Gross Weight per Roll Babycoil berdasarkan berat aktual)</t>
  </si>
  <si>
    <t>(Total Nett Weight per Roll Babycoil berdasarkan berat Packing List)</t>
  </si>
  <si>
    <t>(Total Gross Weight per Roll Babycoil berdasarkan berat Packing List)</t>
  </si>
  <si>
    <t>2. Pemakaian Sisa Coil Coil Sebelumnya (Gudang WIP) :</t>
  </si>
  <si>
    <t>3. Pemakaian Material di Hold (Gudang Material di Hold) :</t>
  </si>
  <si>
    <t>Laporan Produksi</t>
  </si>
  <si>
    <t>SPK :</t>
  </si>
  <si>
    <t>(Select SPK)</t>
  </si>
  <si>
    <t>Tgl Produksi</t>
  </si>
  <si>
    <t>Mesin</t>
  </si>
  <si>
    <t>Helper Name</t>
  </si>
  <si>
    <t>Setter Name</t>
  </si>
  <si>
    <t>Start Time</t>
  </si>
  <si>
    <t>Finished Time</t>
  </si>
  <si>
    <t>(Select Tgl)</t>
  </si>
  <si>
    <t>(Select Mesin)</t>
  </si>
  <si>
    <t>(Select Helper)</t>
  </si>
  <si>
    <t>(Select Setter)</t>
  </si>
  <si>
    <t>(Input time HH:MM)</t>
  </si>
  <si>
    <t>Add Coil dari beberapa sumber (Gudang Produksi 2, Gudang WIP, Gudang Material Hold)</t>
  </si>
  <si>
    <t>Data Packing List</t>
  </si>
  <si>
    <t>Laporan Unpack</t>
  </si>
  <si>
    <t>Coil</t>
  </si>
  <si>
    <t>Material Name</t>
  </si>
  <si>
    <t>Nett Weight packing list</t>
  </si>
  <si>
    <t>Gross Weight Packing list</t>
  </si>
  <si>
    <t>Total Meter</t>
  </si>
  <si>
    <t>Kulit</t>
  </si>
  <si>
    <t>Clamp / Ring (kg)</t>
  </si>
  <si>
    <t>Add Coil From Unpack</t>
  </si>
  <si>
    <t>(Select Baby Coil dari gudang produksi 1)</t>
  </si>
  <si>
    <t>(Otomatis muncul nama materialnya)</t>
  </si>
  <si>
    <t>(Muncul sesuai dari data Gudang Produksi 2)</t>
  </si>
  <si>
    <t>(Dari laporan Unpack)</t>
  </si>
  <si>
    <t>Add Coil From WIP</t>
  </si>
  <si>
    <t>(Select Baby Coil dari Gudang WIP)</t>
  </si>
  <si>
    <t>(Muncul sesuai dari data Gudang WIP)</t>
  </si>
  <si>
    <t>Add Coil From Hold</t>
  </si>
  <si>
    <t>(Select Baby Coil dari Gudang Material Hold)</t>
  </si>
  <si>
    <t>(Muncul sesuai dari data Gudang Material Hold)</t>
  </si>
  <si>
    <t>Finish Good KW 1</t>
  </si>
  <si>
    <t>Produk 1 :</t>
  </si>
  <si>
    <t>(Muncul Produk sesuai SPK)</t>
  </si>
  <si>
    <t>Input Detail Produksi</t>
  </si>
  <si>
    <t>Produk 1, Material 1 :</t>
  </si>
  <si>
    <t>(Select Baby Coil dari Baby coil yang sudah diadd dari Poin 1)</t>
  </si>
  <si>
    <t>Add baby coil</t>
  </si>
  <si>
    <t>bisa &gt; 1 baby coil</t>
  </si>
  <si>
    <t>Pilihan 1 (Total+Qty)</t>
  </si>
  <si>
    <t>Pilihan 2 (Per Pcs+Qty)</t>
  </si>
  <si>
    <t>Pilihan 1 :</t>
  </si>
  <si>
    <t>Qty</t>
  </si>
  <si>
    <t>Berat Total (Kg)</t>
  </si>
  <si>
    <t>Berat/Pcs (Kg)</t>
  </si>
  <si>
    <t>Berat Standard/pcs</t>
  </si>
  <si>
    <t>%Selisih</t>
  </si>
  <si>
    <t>(Input Qty)</t>
  </si>
  <si>
    <t>(Input Kg)</t>
  </si>
  <si>
    <t>(Total Berat/Qty)</t>
  </si>
  <si>
    <t>(database)</t>
  </si>
  <si>
    <t>((Berat/pcs)-Berat Standard)/Berat Standard</t>
  </si>
  <si>
    <t>--&gt;muncul pop up notifikasi cek ulang, jika selisih +- 0,7%</t>
  </si>
  <si>
    <t>Pilihan 2 :</t>
  </si>
  <si>
    <t>(Qty x Berat/pcs)</t>
  </si>
  <si>
    <t>Add Stok Bebas</t>
  </si>
  <si>
    <t>Stok Bebas 1 :</t>
  </si>
  <si>
    <t>(Select Master Product)</t>
  </si>
  <si>
    <t>Input Detail Production</t>
  </si>
  <si>
    <t>Note : Untuk sisa Coil dijadikan produk diluar SPK</t>
  </si>
  <si>
    <t>KW 2</t>
  </si>
  <si>
    <t>Internal</t>
  </si>
  <si>
    <t>Add KW 2</t>
  </si>
  <si>
    <t>No</t>
  </si>
  <si>
    <t>Size (m)</t>
  </si>
  <si>
    <t>Qty KW 2</t>
  </si>
  <si>
    <t>Berat Total (kg)</t>
  </si>
  <si>
    <t>Nama KW 2</t>
  </si>
  <si>
    <t>Keterangan</t>
  </si>
  <si>
    <t>(Input Ukuran)</t>
  </si>
  <si>
    <t>(Input Berat)</t>
  </si>
  <si>
    <t>(Berat Total / Qty KW 2)</t>
  </si>
  <si>
    <t>(Input Free Text)</t>
  </si>
  <si>
    <t>Supplier</t>
  </si>
  <si>
    <t>-&gt; Contoh : KW 2 akibat white rust</t>
  </si>
  <si>
    <t>Sisa Coil</t>
  </si>
  <si>
    <t>Select Baby Coil :</t>
  </si>
  <si>
    <t>Berat Sisa baby coil :</t>
  </si>
  <si>
    <t>(Input Berat Sisa Baby Coil)</t>
  </si>
  <si>
    <t>--&gt; Sisa berat 1 baby coil</t>
  </si>
  <si>
    <t>Total Berat Hold Coil</t>
  </si>
  <si>
    <t>Baby Coil :</t>
  </si>
  <si>
    <t>--&gt; Bisa add lebih dari satu</t>
  </si>
  <si>
    <t>Berat Baby Coil dihold :</t>
  </si>
  <si>
    <t>(Input Berat yang dihold)</t>
  </si>
  <si>
    <t>--&gt; Untuk input berat baby coil yang dihold</t>
  </si>
  <si>
    <t>Komponen Scrap</t>
  </si>
  <si>
    <t>Tong Coil (kg)</t>
  </si>
  <si>
    <t>Wrapping</t>
  </si>
  <si>
    <t>Potongan Pisau</t>
  </si>
  <si>
    <t>Berat Total Reject (kg)</t>
  </si>
  <si>
    <t>Reject Product</t>
  </si>
  <si>
    <t>Reject Material Plat</t>
  </si>
  <si>
    <t>Internal :</t>
  </si>
  <si>
    <t>Supplier :</t>
  </si>
  <si>
    <t>Total Inventory Scrap :</t>
  </si>
  <si>
    <t>(Total Semua Scrap)</t>
  </si>
  <si>
    <t>Summary Packing List vs Aktual Total Produksi (Total)</t>
  </si>
  <si>
    <t>Finish Good</t>
  </si>
  <si>
    <t>KW2</t>
  </si>
  <si>
    <t>Scrap (Tong, Wrapping, Potongan Pisau, Reject Produk dan Material (Internal dan Supplier))</t>
  </si>
  <si>
    <t>Total Sisa Coil (kg)</t>
  </si>
  <si>
    <t>Hold Coil</t>
  </si>
  <si>
    <t>Net weight produksi</t>
  </si>
  <si>
    <t>Net weight packing list</t>
  </si>
  <si>
    <t>Selisih (kg)</t>
  </si>
  <si>
    <t>Selisih (%)
Total Output vs Packing List</t>
  </si>
  <si>
    <t>(Total Berat KW 1)</t>
  </si>
  <si>
    <t>(Total Berat KW 2)</t>
  </si>
  <si>
    <t>(Total sisa baby coil)</t>
  </si>
  <si>
    <t>(Total berat dihold)</t>
  </si>
  <si>
    <t>(Total FG KW 1, KW2, Scrap, Sisa Coil, Hold Coil)</t>
  </si>
  <si>
    <t>(Data dari Unpack)</t>
  </si>
  <si>
    <t>(Net Weight Produksi - Net Packing List)</t>
  </si>
  <si>
    <t>Selisih / Net Weight</t>
  </si>
  <si>
    <t>Note : Save Draft untuk memastikan aktual terlebih dahulu atau Approval</t>
  </si>
  <si>
    <t>Hold &amp; Claim</t>
  </si>
  <si>
    <t>Save</t>
  </si>
  <si>
    <t>Note :</t>
  </si>
  <si>
    <t>1. Save bisa di klik apabila tidak ada hold coil</t>
  </si>
  <si>
    <t>2. Hold &amp; Claim bisa di klik apabila ada hold</t>
  </si>
  <si>
    <t>Laporan HPP</t>
  </si>
  <si>
    <t>Komponen Finish Good/Pcs</t>
  </si>
  <si>
    <t>Total Biaya Finish Good (masuk ke Jurnal)</t>
  </si>
  <si>
    <t>Produk</t>
  </si>
  <si>
    <t>Total Weight FG (Total Weight Produksi)</t>
  </si>
  <si>
    <t>Berat/Pcs (kg)</t>
  </si>
  <si>
    <t>Costbook Material</t>
  </si>
  <si>
    <t>Biaya Material/Pcs</t>
  </si>
  <si>
    <t>Man Power</t>
  </si>
  <si>
    <t>FOH</t>
  </si>
  <si>
    <t>Bahan Pendukung Khusus</t>
  </si>
  <si>
    <t>Consumables</t>
  </si>
  <si>
    <t>Biaya Koordinasi</t>
  </si>
  <si>
    <t>Scrap, tong coil, Wrapping</t>
  </si>
  <si>
    <t>Finish Good Value/Pcs</t>
  </si>
  <si>
    <t>Qty FG</t>
  </si>
  <si>
    <t>Total Biaya Material</t>
  </si>
  <si>
    <t>Finish Good Value Total</t>
  </si>
  <si>
    <t>(Data Hasil Input Produksi KW 1 atau Stok Bebas</t>
  </si>
  <si>
    <t>(Total Berat Produk KW 1 Atau Stok Bebas)</t>
  </si>
  <si>
    <t>(sesuai input berat/pcs dari hasil input Produk KW 1 atau Stok Bebas)</t>
  </si>
  <si>
    <t>(Sesuai database master produknya)</t>
  </si>
  <si>
    <t>(Nilai Costbook dari Material Babycoil yang dipakai dari Gudang Produksi 2 atau Gudang WIP atau Gudang Material Hold)</t>
  </si>
  <si>
    <t>(Berat/Pcs * Costbook Material)</t>
  </si>
  <si>
    <t>(Berat/Pcs * Rate Man Power dari Modul Product Costing)</t>
  </si>
  <si>
    <t>(Berat/Pcs * Rate FOH dari Modul Product Costing)</t>
  </si>
  <si>
    <t>(Berat/Pcs * Rate Bahan Pendukung Khusus dari Modul Product Costing)</t>
  </si>
  <si>
    <t>(Berat/Pcs * Rate Consumables dari Modul Product Costing)</t>
  </si>
  <si>
    <t>(Berat/Pcs * Rate Biaya Koordinasi dari Modul Product Costing)</t>
  </si>
  <si>
    <t>(Berat/Pcs * Rate Biaya Scrap dari Modul Product Costing)</t>
  </si>
  <si>
    <t xml:space="preserve">(Total Berat Material+Man Power+FOH+Bahan Pendukung Khusus+Consumables+Biaya Koordinasi) </t>
  </si>
  <si>
    <t>(Sesuai jumlah Qty Finish Good KW 1 atau Stok Bebas yang terinput)</t>
  </si>
  <si>
    <t>(Biaya Material/pcs * Qty FG)</t>
  </si>
  <si>
    <t>(Biaya Man Power/pcs * Qty FG)</t>
  </si>
  <si>
    <t>(Biaya FOH/pcs * Qty FG)</t>
  </si>
  <si>
    <t>(Biaya Bahan Pendukung Khusus/pcs * Qty FG)</t>
  </si>
  <si>
    <t>(Biaya Consumables Khusus/pcs * Qty FG)</t>
  </si>
  <si>
    <t>(Biaya Koordinasi/pcs * Qty FG)</t>
  </si>
  <si>
    <t>(Biaya Scrap/pcs * Qty FG)</t>
  </si>
  <si>
    <t>Finish Good KW 2 --&gt; Nilai Inventory KW2 Hanya 80%</t>
  </si>
  <si>
    <t>KW 2 (Internal)</t>
  </si>
  <si>
    <t>Total Biaya Finish Good KW 2</t>
  </si>
  <si>
    <t>Total Weight FG</t>
  </si>
  <si>
    <t>Man Power 
(Misal : Rp400/Kg)</t>
  </si>
  <si>
    <t>FOH 
(Misal : Rp300/Kg)</t>
  </si>
  <si>
    <t>Bahan Pendukung Khusus
(Misal : Rp500/Kg)</t>
  </si>
  <si>
    <t>Consumables
(Misal : Rp200/Kg)</t>
  </si>
  <si>
    <t>Biaya Koordinasi
(Rp200/Kg)</t>
  </si>
  <si>
    <t>Scrap, tong coil, Wrapping
(Misal, 2% dari value material)</t>
  </si>
  <si>
    <t>Qty FG KW 2</t>
  </si>
  <si>
    <t>Bahan Pendukung</t>
  </si>
  <si>
    <t>Inventory (80%)</t>
  </si>
  <si>
    <t>Biaya Loss KW 2 (20%)</t>
  </si>
  <si>
    <t>(Data Hasil Input Produksi KW 2 Internal)</t>
  </si>
  <si>
    <t>(Total Berat Produk KW 2 Internal)</t>
  </si>
  <si>
    <t>(sesuai input berat/pcs dari hasil input Produk KW 2 Internal)</t>
  </si>
  <si>
    <t>(Finish Good Value Total * 80%)</t>
  </si>
  <si>
    <t>(Finish Good Value Total * 20%)</t>
  </si>
  <si>
    <t>KW 2 (Supplier)</t>
  </si>
  <si>
    <t>(Data Hasil Input Produksi KW 2 External)</t>
  </si>
  <si>
    <t>(Total Berat Produk KW 2 External)</t>
  </si>
  <si>
    <t>(sesuai input berat/pcs dari hasil input Produk KW 2 External)</t>
  </si>
  <si>
    <t>Item</t>
  </si>
  <si>
    <t>Total Weight</t>
  </si>
  <si>
    <t>Costbook Material
(per Kg)</t>
  </si>
  <si>
    <t>Inventory Value
(40%)</t>
  </si>
  <si>
    <t>Beban FOH Scrap, Tong Coil, Wrapping
(60%)</t>
  </si>
  <si>
    <t>Reject Produk Internal</t>
  </si>
  <si>
    <t>(sesuai input dari data scrap bagian " Reject Product Internal)</t>
  </si>
  <si>
    <t>(Costbook Material dari Gudang Produksi 2)</t>
  </si>
  <si>
    <t>(Total Weight*Costbook)*40%</t>
  </si>
  <si>
    <t>(Total Weight*Costbook)*60%</t>
  </si>
  <si>
    <t>Reject Material Internal</t>
  </si>
  <si>
    <t>(sesuai input dari data scrap bagian "Reject Material Internal)</t>
  </si>
  <si>
    <t>Reject Produk Supplier</t>
  </si>
  <si>
    <t>(sesuai input dari data scrap bagian "Reject Product Supplier")</t>
  </si>
  <si>
    <t>Reject Material Supplier</t>
  </si>
  <si>
    <t>Tong Coil</t>
  </si>
  <si>
    <t>(sesuai input dari data scrap bagian "Tong Coil")</t>
  </si>
  <si>
    <t>(sesuai input dari data scrap bagian "Wrapping")</t>
  </si>
  <si>
    <t>(sesuai input dari data scrap bagian "Potongan Pisau")</t>
  </si>
  <si>
    <t>Total :</t>
  </si>
  <si>
    <t>Inventory Value
(full)</t>
  </si>
  <si>
    <t>(Baby Coil yang dipilih)</t>
  </si>
  <si>
    <t>(Sesuai input dari bagian Sisa Coil)</t>
  </si>
  <si>
    <t>(Total Weight*Costbook)</t>
  </si>
  <si>
    <t>Selisih Berat</t>
  </si>
  <si>
    <t>(Sesuai data summary bagian "Selisih Kg")</t>
  </si>
  <si>
    <t>Jurnal</t>
  </si>
  <si>
    <t>Proses</t>
  </si>
  <si>
    <t>Menu ERP</t>
  </si>
  <si>
    <t>Menu TRAS</t>
  </si>
  <si>
    <t>Account COA</t>
  </si>
  <si>
    <t>Nama Account</t>
  </si>
  <si>
    <t>Formula</t>
  </si>
  <si>
    <t>Debit</t>
  </si>
  <si>
    <t>Kredit</t>
  </si>
  <si>
    <t>COGM</t>
  </si>
  <si>
    <t>Laporan Harian Produksi</t>
  </si>
  <si>
    <t>Jurnal Voucher (JV)</t>
  </si>
  <si>
    <t xml:space="preserve">COGM MATERIAL </t>
  </si>
  <si>
    <t>Material KW 1 &amp; KW 2</t>
  </si>
  <si>
    <t>(Total Nilai Material Produk KW 1 dan KW 2)</t>
  </si>
  <si>
    <t>Masuk ke COGM</t>
  </si>
  <si>
    <t>COGM LABOUR COST PC</t>
  </si>
  <si>
    <t>Labour cost FG KW1 &amp; KW 2</t>
  </si>
  <si>
    <t>(Total Nilai Man Power Produk KW 1 dan KW 2)</t>
  </si>
  <si>
    <t>COGM FACTORY OVERHEAD PC</t>
  </si>
  <si>
    <t>Factory Overhead FG KW1 &amp; KW2</t>
  </si>
  <si>
    <t>(Total Nilai FOH Produk KW 1 dan KW 2)</t>
  </si>
  <si>
    <t>COGM BAHAN PENDUKUNG KHUSUS PC</t>
  </si>
  <si>
    <t>Bahan Pendukuing Khusus FG KW1 &amp; KW2</t>
  </si>
  <si>
    <t>(Total Nilai Bahan Pendukung Khusus Produk KW 1 dan KW 2)</t>
  </si>
  <si>
    <t>COGM CONSUMABLE PC</t>
  </si>
  <si>
    <t>Consumables FG KW1 &amp; KW2</t>
  </si>
  <si>
    <t>(Total Nilai Bahan Consumables Produk KW 1 dan KW 2)</t>
  </si>
  <si>
    <t>COGM BIAYA KOORDINASI PC</t>
  </si>
  <si>
    <t>Biaya Koordinasi FG KW1 &amp; KW2</t>
  </si>
  <si>
    <t>(Total Nilai Bahan Biaya Koordinasi Produk KW 1 dan KW 2)</t>
  </si>
  <si>
    <t>COGM BIAYA SCRAP PC</t>
  </si>
  <si>
    <t>Biaya Scrap FG KW1 &amp; KW2</t>
  </si>
  <si>
    <t>(Total Nilai Bahan Biaya Scrap Produk KW 1 dan KW 2)</t>
  </si>
  <si>
    <t>COGM Loss KW 2</t>
  </si>
  <si>
    <t>(Total Biaya Loss KW 2 (20%) dari Produk KW 2 internal dan Supplier)</t>
  </si>
  <si>
    <t>Inventory</t>
  </si>
  <si>
    <t>1105-03-01</t>
  </si>
  <si>
    <t>PERSEDIAN BARANG WASTE</t>
  </si>
  <si>
    <t>40% dari Scrap dan potongan pisau, Scrap internal, scrap supplier, tong koil, wrapping</t>
  </si>
  <si>
    <t>(Total Nilai dari Scrap Inventory Value
(40%))</t>
  </si>
  <si>
    <t>Debit Kredit Inventory</t>
  </si>
  <si>
    <t>1105-05-02</t>
  </si>
  <si>
    <t>WIP MANUFACTURING</t>
  </si>
  <si>
    <t>Sisa Material yg belum diproduksi dikembalikan ke Inventory WIP Manufacturing</t>
  </si>
  <si>
    <t>(Total Nilai Material Sisa Coil)</t>
  </si>
  <si>
    <t>Sisa Material yang dipakai produksi</t>
  </si>
  <si>
    <t>(Total Nilai Material yang keluar dari Unpack dan dari Hold)</t>
  </si>
  <si>
    <t>1105-01-01</t>
  </si>
  <si>
    <t>PERSEDIAN BAHAN BAKU PRODUKSI</t>
  </si>
  <si>
    <t>Nett Weight Packing Coil x Costbook</t>
  </si>
  <si>
    <t>(Total Nilai Material yang keluar dari WIP)</t>
  </si>
  <si>
    <t>Biaya Aktual Based On Standard Costing yang akan diCrossing</t>
  </si>
  <si>
    <t>BIAYA SCRAP</t>
  </si>
  <si>
    <t>60% dari Scrap dan potongan pisau, Scrap internal, scrap supplier, tong koil, wrapping</t>
  </si>
  <si>
    <t>(Total Beban FOH Scrap, Tong Coil, Wrapping
(60%)</t>
  </si>
  <si>
    <t>Diadu dengan Hutang Scrap</t>
  </si>
  <si>
    <t>Biaya KW 2 (20%)</t>
  </si>
  <si>
    <t>Biaya Loss/Profit Akibat Selisih Material</t>
  </si>
  <si>
    <t>B. SELISIH STOCK AUDIT</t>
  </si>
  <si>
    <t xml:space="preserve">Selisih timbang dari berat tercatat di Inventory dengan actual timbang </t>
  </si>
  <si>
    <t>(Total Nilai dari Selisih Berat)</t>
  </si>
  <si>
    <t>Langsung Biaya</t>
  </si>
  <si>
    <t>Hutang yang akan dicrossing di akhir bulan dengan Aktual</t>
  </si>
  <si>
    <t>HUTANG LABOUR COST PC</t>
  </si>
  <si>
    <t>Hutang</t>
  </si>
  <si>
    <t>HUTANG FACTORY OVERHEAD PC</t>
  </si>
  <si>
    <t>HUTANG BAHAN PENDUKUNG PC</t>
  </si>
  <si>
    <t>HUTANG CONSOMABLE PC</t>
  </si>
  <si>
    <t>HUTANG BIAYA KOORDINASI PC</t>
  </si>
  <si>
    <t>HUTANG BIAYA SCRAP PC</t>
  </si>
  <si>
    <t>Cek Balancing HPP vs COGM --&gt;</t>
  </si>
  <si>
    <t>1106-03-01</t>
  </si>
  <si>
    <t>INVENTORY FINISHED GOODS</t>
  </si>
  <si>
    <t>Total Nilai Finish Good KW 1 dan KW 2)</t>
  </si>
  <si>
    <t xml:space="preserve">                      COST OF GOOD MANUFATURING</t>
  </si>
  <si>
    <t>Total Nilai Komponen COGM (dari Material sampai Scrap))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</si>
</sst>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7"/>
      <color rgb="FF212529"/>
      <name val="Roboto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80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2" borderId="0" xfId="0" applyFont="1" applyFill="1" applyAlignment="1">
      <alignment horizontal="center" vertical="top"/>
    </xf>
    <xf numFmtId="0" fontId="5" fillId="0" borderId="0" xfId="2" applyAlignment="1">
      <alignment horizontal="left" vertical="top"/>
    </xf>
    <xf numFmtId="0" fontId="5" fillId="0" borderId="0" xfId="2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6" fillId="0" borderId="1" xfId="2" applyFont="1" applyBorder="1" applyAlignment="1">
      <alignment horizontal="center" vertical="top" wrapText="1"/>
    </xf>
    <xf numFmtId="0" fontId="5" fillId="3" borderId="1" xfId="2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/>
    </xf>
    <xf numFmtId="0" fontId="6" fillId="4" borderId="1" xfId="2" applyFont="1" applyFill="1" applyBorder="1" applyAlignment="1">
      <alignment horizontal="center" vertical="top" wrapText="1"/>
    </xf>
    <xf numFmtId="0" fontId="5" fillId="0" borderId="1" xfId="2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4" fontId="5" fillId="6" borderId="1" xfId="2" applyNumberFormat="1" applyFill="1" applyBorder="1" applyAlignment="1">
      <alignment horizontal="center" vertical="top" wrapText="1"/>
    </xf>
    <xf numFmtId="0" fontId="5" fillId="6" borderId="1" xfId="2" applyFill="1" applyBorder="1" applyAlignment="1">
      <alignment horizontal="center" vertical="top" wrapText="1"/>
    </xf>
    <xf numFmtId="0" fontId="5" fillId="4" borderId="1" xfId="2" applyFill="1" applyBorder="1" applyAlignment="1">
      <alignment horizontal="center" vertical="top" wrapText="1"/>
    </xf>
    <xf numFmtId="0" fontId="4" fillId="7" borderId="0" xfId="0" applyFont="1" applyFill="1" applyAlignment="1">
      <alignment horizontal="center" vertical="top"/>
    </xf>
    <xf numFmtId="0" fontId="7" fillId="0" borderId="0" xfId="2" applyFont="1" applyAlignment="1">
      <alignment vertical="top"/>
    </xf>
    <xf numFmtId="0" fontId="6" fillId="0" borderId="0" xfId="2" applyFont="1" applyAlignment="1">
      <alignment horizontal="right" vertical="top"/>
    </xf>
    <xf numFmtId="0" fontId="5" fillId="8" borderId="0" xfId="2" applyFill="1" applyAlignment="1">
      <alignment vertical="top"/>
    </xf>
    <xf numFmtId="0" fontId="5" fillId="0" borderId="0" xfId="2" applyAlignment="1">
      <alignment vertical="top"/>
    </xf>
    <xf numFmtId="43" fontId="0" fillId="0" borderId="0" xfId="3" applyFont="1" applyAlignment="1">
      <alignment vertical="top"/>
    </xf>
    <xf numFmtId="43" fontId="7" fillId="0" borderId="0" xfId="3" applyFont="1" applyAlignment="1">
      <alignment vertical="top"/>
    </xf>
    <xf numFmtId="0" fontId="6" fillId="0" borderId="0" xfId="2" applyFont="1" applyAlignment="1">
      <alignment vertical="top"/>
    </xf>
    <xf numFmtId="0" fontId="6" fillId="0" borderId="1" xfId="2" applyFont="1" applyBorder="1" applyAlignment="1">
      <alignment horizontal="center" vertical="top"/>
    </xf>
    <xf numFmtId="43" fontId="6" fillId="0" borderId="1" xfId="3" applyFont="1" applyBorder="1" applyAlignment="1">
      <alignment horizontal="center" vertical="top"/>
    </xf>
    <xf numFmtId="14" fontId="5" fillId="8" borderId="1" xfId="2" applyNumberFormat="1" applyFill="1" applyBorder="1" applyAlignment="1">
      <alignment horizontal="center" vertical="top"/>
    </xf>
    <xf numFmtId="0" fontId="8" fillId="8" borderId="1" xfId="2" applyFont="1" applyFill="1" applyBorder="1" applyAlignment="1">
      <alignment horizontal="center" vertical="top"/>
    </xf>
    <xf numFmtId="20" fontId="8" fillId="9" borderId="1" xfId="2" applyNumberFormat="1" applyFont="1" applyFill="1" applyBorder="1" applyAlignment="1">
      <alignment horizontal="center" vertical="top"/>
    </xf>
    <xf numFmtId="0" fontId="6" fillId="0" borderId="0" xfId="2" applyFont="1" applyAlignment="1">
      <alignment horizontal="center" vertical="top"/>
    </xf>
    <xf numFmtId="0" fontId="9" fillId="10" borderId="2" xfId="2" applyFont="1" applyFill="1" applyBorder="1" applyAlignment="1">
      <alignment horizontal="center" vertical="top"/>
    </xf>
    <xf numFmtId="0" fontId="9" fillId="10" borderId="3" xfId="2" applyFont="1" applyFill="1" applyBorder="1" applyAlignment="1">
      <alignment horizontal="center" vertical="top"/>
    </xf>
    <xf numFmtId="0" fontId="9" fillId="10" borderId="4" xfId="2" applyFont="1" applyFill="1" applyBorder="1" applyAlignment="1">
      <alignment horizontal="center" vertical="top"/>
    </xf>
    <xf numFmtId="0" fontId="6" fillId="4" borderId="2" xfId="2" applyFont="1" applyFill="1" applyBorder="1" applyAlignment="1">
      <alignment horizontal="center" vertical="top"/>
    </xf>
    <xf numFmtId="0" fontId="6" fillId="4" borderId="3" xfId="2" applyFont="1" applyFill="1" applyBorder="1" applyAlignment="1">
      <alignment horizontal="center" vertical="top"/>
    </xf>
    <xf numFmtId="0" fontId="10" fillId="11" borderId="1" xfId="2" applyFont="1" applyFill="1" applyBorder="1" applyAlignment="1">
      <alignment horizontal="center" vertical="center" wrapText="1"/>
    </xf>
    <xf numFmtId="0" fontId="5" fillId="8" borderId="1" xfId="2" applyFill="1" applyBorder="1" applyAlignment="1">
      <alignment horizontal="center" vertical="top" wrapText="1"/>
    </xf>
    <xf numFmtId="4" fontId="5" fillId="12" borderId="1" xfId="2" applyNumberFormat="1" applyFill="1" applyBorder="1" applyAlignment="1">
      <alignment horizontal="center" vertical="top" wrapText="1"/>
    </xf>
    <xf numFmtId="4" fontId="5" fillId="12" borderId="1" xfId="2" applyNumberFormat="1" applyFill="1" applyBorder="1" applyAlignment="1">
      <alignment horizontal="center" vertical="center" wrapText="1"/>
    </xf>
    <xf numFmtId="4" fontId="5" fillId="12" borderId="1" xfId="2" applyNumberFormat="1" applyFill="1" applyBorder="1" applyAlignment="1">
      <alignment horizontal="center" vertical="top"/>
    </xf>
    <xf numFmtId="0" fontId="5" fillId="0" borderId="0" xfId="2" applyAlignment="1">
      <alignment horizontal="center" vertical="top"/>
    </xf>
    <xf numFmtId="0" fontId="11" fillId="0" borderId="0" xfId="2" applyFont="1" applyAlignment="1">
      <alignment horizontal="right" vertical="top"/>
    </xf>
    <xf numFmtId="0" fontId="6" fillId="13" borderId="0" xfId="2" applyFont="1" applyFill="1" applyAlignment="1">
      <alignment vertical="top"/>
    </xf>
    <xf numFmtId="0" fontId="9" fillId="11" borderId="0" xfId="0" applyFont="1" applyFill="1" applyAlignment="1">
      <alignment horizontal="center" vertical="top"/>
    </xf>
    <xf numFmtId="4" fontId="5" fillId="0" borderId="0" xfId="2" applyNumberFormat="1" applyAlignment="1">
      <alignment horizontal="center" vertical="top" wrapText="1"/>
    </xf>
    <xf numFmtId="14" fontId="5" fillId="8" borderId="0" xfId="2" applyNumberFormat="1" applyFill="1" applyAlignment="1">
      <alignment horizontal="left" vertical="top" wrapText="1"/>
    </xf>
    <xf numFmtId="43" fontId="12" fillId="0" borderId="0" xfId="3" applyFont="1" applyAlignment="1">
      <alignment vertical="top"/>
    </xf>
    <xf numFmtId="0" fontId="5" fillId="5" borderId="1" xfId="0" applyFont="1" applyFill="1" applyBorder="1" applyAlignment="1">
      <alignment horizontal="center" vertical="top"/>
    </xf>
    <xf numFmtId="43" fontId="0" fillId="0" borderId="0" xfId="1" applyFont="1" applyAlignment="1">
      <alignment vertical="top"/>
    </xf>
    <xf numFmtId="0" fontId="6" fillId="0" borderId="0" xfId="0" applyFont="1" applyAlignment="1">
      <alignment vertical="top"/>
    </xf>
    <xf numFmtId="0" fontId="6" fillId="0" borderId="1" xfId="0" applyFont="1" applyBorder="1" applyAlignment="1">
      <alignment horizontal="center" vertical="top"/>
    </xf>
    <xf numFmtId="0" fontId="0" fillId="9" borderId="1" xfId="0" applyFill="1" applyBorder="1" applyAlignment="1">
      <alignment horizontal="center" vertical="top"/>
    </xf>
    <xf numFmtId="43" fontId="0" fillId="14" borderId="1" xfId="1" applyFont="1" applyFill="1" applyBorder="1" applyAlignment="1">
      <alignment horizontal="center" vertical="top"/>
    </xf>
    <xf numFmtId="43" fontId="0" fillId="13" borderId="1" xfId="1" applyFont="1" applyFill="1" applyBorder="1" applyAlignment="1">
      <alignment horizontal="center" vertical="top"/>
    </xf>
    <xf numFmtId="43" fontId="0" fillId="14" borderId="1" xfId="1" applyFont="1" applyFill="1" applyBorder="1" applyAlignment="1">
      <alignment vertical="top"/>
    </xf>
    <xf numFmtId="0" fontId="2" fillId="0" borderId="0" xfId="0" quotePrefix="1" applyFont="1" applyAlignment="1">
      <alignment vertical="top"/>
    </xf>
    <xf numFmtId="0" fontId="0" fillId="14" borderId="1" xfId="0" applyFill="1" applyBorder="1" applyAlignment="1">
      <alignment horizontal="center" vertical="top"/>
    </xf>
    <xf numFmtId="0" fontId="7" fillId="0" borderId="0" xfId="0" applyFont="1" applyAlignment="1">
      <alignment vertical="top"/>
    </xf>
    <xf numFmtId="0" fontId="9" fillId="2" borderId="0" xfId="0" applyFont="1" applyFill="1" applyAlignment="1">
      <alignment horizontal="right" vertical="top"/>
    </xf>
    <xf numFmtId="4" fontId="5" fillId="0" borderId="0" xfId="0" applyNumberFormat="1" applyFont="1" applyAlignment="1">
      <alignment horizontal="center" vertical="top" wrapText="1"/>
    </xf>
    <xf numFmtId="0" fontId="6" fillId="5" borderId="0" xfId="0" applyFont="1" applyFill="1" applyAlignment="1">
      <alignment vertical="top"/>
    </xf>
    <xf numFmtId="43" fontId="12" fillId="0" borderId="0" xfId="1" applyFont="1" applyAlignment="1">
      <alignment vertical="top"/>
    </xf>
    <xf numFmtId="0" fontId="9" fillId="15" borderId="0" xfId="2" applyFont="1" applyFill="1" applyAlignment="1">
      <alignment horizontal="center" vertical="center"/>
    </xf>
    <xf numFmtId="0" fontId="5" fillId="9" borderId="1" xfId="2" applyFill="1" applyBorder="1" applyAlignment="1">
      <alignment horizontal="center" vertical="top"/>
    </xf>
    <xf numFmtId="43" fontId="5" fillId="14" borderId="1" xfId="3" applyFont="1" applyFill="1" applyBorder="1" applyAlignment="1">
      <alignment horizontal="center" vertical="top"/>
    </xf>
    <xf numFmtId="0" fontId="5" fillId="14" borderId="1" xfId="2" applyFill="1" applyBorder="1" applyAlignment="1">
      <alignment horizontal="center" vertical="top" wrapText="1"/>
    </xf>
    <xf numFmtId="0" fontId="12" fillId="0" borderId="0" xfId="2" quotePrefix="1" applyFont="1" applyAlignment="1">
      <alignment vertical="top"/>
    </xf>
    <xf numFmtId="4" fontId="5" fillId="9" borderId="1" xfId="2" applyNumberFormat="1" applyFill="1" applyBorder="1" applyAlignment="1">
      <alignment horizontal="center" vertical="top"/>
    </xf>
    <xf numFmtId="0" fontId="13" fillId="0" borderId="0" xfId="2" quotePrefix="1" applyFont="1" applyAlignment="1">
      <alignment vertical="top"/>
    </xf>
    <xf numFmtId="43" fontId="5" fillId="0" borderId="0" xfId="2" applyNumberFormat="1" applyAlignment="1">
      <alignment vertical="top"/>
    </xf>
    <xf numFmtId="0" fontId="5" fillId="0" borderId="0" xfId="2" quotePrefix="1" applyAlignment="1">
      <alignment vertical="top"/>
    </xf>
    <xf numFmtId="0" fontId="13" fillId="0" borderId="0" xfId="0" quotePrefix="1" applyFont="1" applyAlignment="1">
      <alignment vertical="top"/>
    </xf>
    <xf numFmtId="0" fontId="6" fillId="0" borderId="1" xfId="2" applyFont="1" applyBorder="1" applyAlignment="1">
      <alignment horizontal="center" vertical="top"/>
    </xf>
    <xf numFmtId="0" fontId="6" fillId="5" borderId="0" xfId="2" applyFont="1" applyFill="1" applyAlignment="1">
      <alignment horizontal="center" vertical="top"/>
    </xf>
    <xf numFmtId="0" fontId="12" fillId="0" borderId="0" xfId="2" applyFont="1" applyAlignment="1">
      <alignment vertical="top"/>
    </xf>
    <xf numFmtId="0" fontId="14" fillId="16" borderId="1" xfId="2" applyFont="1" applyFill="1" applyBorder="1" applyAlignment="1">
      <alignment horizontal="center" vertical="center" wrapText="1"/>
    </xf>
    <xf numFmtId="0" fontId="14" fillId="16" borderId="5" xfId="2" applyFont="1" applyFill="1" applyBorder="1" applyAlignment="1">
      <alignment horizontal="center" vertical="center"/>
    </xf>
    <xf numFmtId="0" fontId="14" fillId="16" borderId="6" xfId="2" applyFont="1" applyFill="1" applyBorder="1" applyAlignment="1">
      <alignment horizontal="center" vertical="center"/>
    </xf>
    <xf numFmtId="43" fontId="14" fillId="16" borderId="1" xfId="3" applyFont="1" applyFill="1" applyBorder="1" applyAlignment="1">
      <alignment horizontal="center" vertical="center" wrapText="1"/>
    </xf>
    <xf numFmtId="4" fontId="5" fillId="14" borderId="1" xfId="2" applyNumberFormat="1" applyFill="1" applyBorder="1" applyAlignment="1">
      <alignment horizontal="center" vertical="top"/>
    </xf>
    <xf numFmtId="4" fontId="5" fillId="14" borderId="5" xfId="2" applyNumberFormat="1" applyFill="1" applyBorder="1" applyAlignment="1">
      <alignment horizontal="center" vertical="top"/>
    </xf>
    <xf numFmtId="4" fontId="5" fillId="14" borderId="6" xfId="2" applyNumberFormat="1" applyFill="1" applyBorder="1" applyAlignment="1">
      <alignment horizontal="center" vertical="top"/>
    </xf>
    <xf numFmtId="4" fontId="5" fillId="14" borderId="7" xfId="2" applyNumberFormat="1" applyFill="1" applyBorder="1" applyAlignment="1">
      <alignment horizontal="center" vertical="top"/>
    </xf>
    <xf numFmtId="4" fontId="5" fillId="14" borderId="1" xfId="2" applyNumberFormat="1" applyFill="1" applyBorder="1" applyAlignment="1">
      <alignment horizontal="center" vertical="top" wrapText="1"/>
    </xf>
    <xf numFmtId="10" fontId="5" fillId="14" borderId="1" xfId="4" applyNumberFormat="1" applyFont="1" applyFill="1" applyBorder="1" applyAlignment="1">
      <alignment horizontal="center" vertical="top"/>
    </xf>
    <xf numFmtId="0" fontId="15" fillId="0" borderId="0" xfId="0" applyFont="1" applyAlignment="1">
      <alignment vertical="top"/>
    </xf>
    <xf numFmtId="0" fontId="10" fillId="7" borderId="0" xfId="2" applyFont="1" applyFill="1" applyAlignment="1">
      <alignment horizontal="center" vertical="top"/>
    </xf>
    <xf numFmtId="0" fontId="10" fillId="11" borderId="0" xfId="2" applyFont="1" applyFill="1" applyAlignment="1">
      <alignment horizontal="center" vertical="top"/>
    </xf>
    <xf numFmtId="0" fontId="15" fillId="0" borderId="0" xfId="2" applyFont="1" applyAlignment="1">
      <alignment vertical="top"/>
    </xf>
    <xf numFmtId="43" fontId="7" fillId="0" borderId="0" xfId="2" applyNumberFormat="1" applyFont="1" applyAlignment="1">
      <alignment vertical="top"/>
    </xf>
    <xf numFmtId="0" fontId="4" fillId="17" borderId="0" xfId="0" applyFont="1" applyFill="1" applyAlignment="1">
      <alignment horizontal="center" vertical="top"/>
    </xf>
    <xf numFmtId="164" fontId="0" fillId="0" borderId="0" xfId="0" applyNumberFormat="1" applyAlignment="1">
      <alignment vertical="top"/>
    </xf>
    <xf numFmtId="43" fontId="16" fillId="0" borderId="1" xfId="3" applyFont="1" applyBorder="1" applyAlignment="1">
      <alignment horizontal="center" vertical="top"/>
    </xf>
    <xf numFmtId="0" fontId="6" fillId="0" borderId="5" xfId="2" applyFont="1" applyBorder="1" applyAlignment="1">
      <alignment horizontal="center" vertical="top"/>
    </xf>
    <xf numFmtId="164" fontId="16" fillId="0" borderId="1" xfId="3" applyNumberFormat="1" applyFont="1" applyBorder="1" applyAlignment="1">
      <alignment horizontal="center" vertical="top" wrapText="1"/>
    </xf>
    <xf numFmtId="43" fontId="16" fillId="0" borderId="1" xfId="3" applyFont="1" applyBorder="1" applyAlignment="1">
      <alignment horizontal="center" vertical="top" wrapText="1"/>
    </xf>
    <xf numFmtId="0" fontId="5" fillId="0" borderId="1" xfId="2" applyBorder="1" applyAlignment="1">
      <alignment horizontal="center" vertical="top"/>
    </xf>
    <xf numFmtId="0" fontId="5" fillId="3" borderId="1" xfId="2" applyFill="1" applyBorder="1" applyAlignment="1">
      <alignment vertical="top" wrapText="1"/>
    </xf>
    <xf numFmtId="4" fontId="5" fillId="3" borderId="1" xfId="2" applyNumberFormat="1" applyFill="1" applyBorder="1" applyAlignment="1">
      <alignment horizontal="center" vertical="top" wrapText="1"/>
    </xf>
    <xf numFmtId="43" fontId="7" fillId="3" borderId="1" xfId="2" applyNumberFormat="1" applyFont="1" applyFill="1" applyBorder="1" applyAlignment="1">
      <alignment vertical="top" wrapText="1"/>
    </xf>
    <xf numFmtId="43" fontId="7" fillId="3" borderId="1" xfId="3" applyFont="1" applyFill="1" applyBorder="1" applyAlignment="1">
      <alignment vertical="top" wrapText="1"/>
    </xf>
    <xf numFmtId="43" fontId="7" fillId="5" borderId="1" xfId="3" applyFont="1" applyFill="1" applyBorder="1" applyAlignment="1">
      <alignment horizontal="center" vertical="top"/>
    </xf>
    <xf numFmtId="43" fontId="7" fillId="5" borderId="1" xfId="3" applyFont="1" applyFill="1" applyBorder="1" applyAlignment="1">
      <alignment horizontal="center" vertical="top" wrapText="1"/>
    </xf>
    <xf numFmtId="0" fontId="17" fillId="3" borderId="1" xfId="2" applyFont="1" applyFill="1" applyBorder="1" applyAlignment="1">
      <alignment horizontal="center" vertical="top" wrapText="1"/>
    </xf>
    <xf numFmtId="0" fontId="5" fillId="0" borderId="1" xfId="2" applyBorder="1" applyAlignment="1">
      <alignment vertical="top" wrapText="1"/>
    </xf>
    <xf numFmtId="43" fontId="7" fillId="0" borderId="1" xfId="2" applyNumberFormat="1" applyFont="1" applyBorder="1" applyAlignment="1">
      <alignment vertical="top"/>
    </xf>
    <xf numFmtId="43" fontId="7" fillId="0" borderId="1" xfId="3" applyFont="1" applyFill="1" applyBorder="1" applyAlignment="1">
      <alignment vertical="top"/>
    </xf>
    <xf numFmtId="43" fontId="7" fillId="0" borderId="1" xfId="3" applyFont="1" applyBorder="1" applyAlignment="1">
      <alignment vertical="top"/>
    </xf>
    <xf numFmtId="164" fontId="7" fillId="0" borderId="1" xfId="3" applyNumberFormat="1" applyFont="1" applyBorder="1" applyAlignment="1">
      <alignment vertical="top"/>
    </xf>
    <xf numFmtId="43" fontId="16" fillId="0" borderId="1" xfId="2" applyNumberFormat="1" applyFont="1" applyBorder="1" applyAlignment="1">
      <alignment vertical="top"/>
    </xf>
    <xf numFmtId="0" fontId="5" fillId="0" borderId="0" xfId="2" applyAlignment="1">
      <alignment vertical="top" wrapText="1"/>
    </xf>
    <xf numFmtId="164" fontId="7" fillId="0" borderId="0" xfId="3" applyNumberFormat="1" applyFont="1" applyAlignment="1">
      <alignment vertical="top"/>
    </xf>
    <xf numFmtId="43" fontId="16" fillId="0" borderId="0" xfId="2" applyNumberFormat="1" applyFont="1" applyAlignment="1">
      <alignment vertical="top"/>
    </xf>
    <xf numFmtId="164" fontId="7" fillId="0" borderId="0" xfId="2" applyNumberFormat="1" applyFont="1" applyAlignment="1">
      <alignment vertical="top"/>
    </xf>
    <xf numFmtId="0" fontId="16" fillId="0" borderId="0" xfId="2" applyFont="1" applyAlignment="1">
      <alignment vertical="top"/>
    </xf>
    <xf numFmtId="43" fontId="15" fillId="0" borderId="0" xfId="2" applyNumberFormat="1" applyFont="1" applyAlignment="1">
      <alignment vertical="top"/>
    </xf>
    <xf numFmtId="0" fontId="6" fillId="0" borderId="5" xfId="2" applyFont="1" applyBorder="1" applyAlignment="1">
      <alignment horizontal="center" vertical="top"/>
    </xf>
    <xf numFmtId="0" fontId="6" fillId="0" borderId="6" xfId="2" applyFont="1" applyBorder="1" applyAlignment="1">
      <alignment horizontal="center" vertical="top"/>
    </xf>
    <xf numFmtId="0" fontId="6" fillId="0" borderId="7" xfId="2" applyFont="1" applyBorder="1" applyAlignment="1">
      <alignment horizontal="center" vertical="top"/>
    </xf>
    <xf numFmtId="43" fontId="16" fillId="0" borderId="5" xfId="3" applyFont="1" applyBorder="1" applyAlignment="1">
      <alignment horizontal="center" vertical="top"/>
    </xf>
    <xf numFmtId="43" fontId="16" fillId="0" borderId="6" xfId="3" applyFont="1" applyBorder="1" applyAlignment="1">
      <alignment horizontal="center" vertical="top"/>
    </xf>
    <xf numFmtId="43" fontId="16" fillId="0" borderId="7" xfId="3" applyFont="1" applyBorder="1" applyAlignment="1">
      <alignment horizontal="center" vertical="top"/>
    </xf>
    <xf numFmtId="43" fontId="16" fillId="12" borderId="1" xfId="3" applyFont="1" applyFill="1" applyBorder="1" applyAlignment="1">
      <alignment horizontal="center" vertical="top" wrapText="1"/>
    </xf>
    <xf numFmtId="43" fontId="7" fillId="0" borderId="0" xfId="3" applyFont="1" applyBorder="1" applyAlignment="1">
      <alignment vertical="top"/>
    </xf>
    <xf numFmtId="164" fontId="5" fillId="0" borderId="0" xfId="2" applyNumberFormat="1" applyAlignment="1">
      <alignment vertical="top"/>
    </xf>
    <xf numFmtId="0" fontId="6" fillId="0" borderId="5" xfId="2" applyFont="1" applyBorder="1" applyAlignment="1">
      <alignment horizontal="center" vertical="top" wrapText="1"/>
    </xf>
    <xf numFmtId="0" fontId="5" fillId="0" borderId="1" xfId="2" applyBorder="1" applyAlignment="1">
      <alignment vertical="top"/>
    </xf>
    <xf numFmtId="4" fontId="7" fillId="6" borderId="1" xfId="2" applyNumberFormat="1" applyFont="1" applyFill="1" applyBorder="1" applyAlignment="1">
      <alignment horizontal="center" vertical="top" wrapText="1"/>
    </xf>
    <xf numFmtId="43" fontId="7" fillId="6" borderId="1" xfId="3" applyFont="1" applyFill="1" applyBorder="1" applyAlignment="1">
      <alignment vertical="top" wrapText="1"/>
    </xf>
    <xf numFmtId="43" fontId="5" fillId="5" borderId="1" xfId="2" applyNumberFormat="1" applyFill="1" applyBorder="1" applyAlignment="1">
      <alignment vertical="top" wrapText="1"/>
    </xf>
    <xf numFmtId="0" fontId="16" fillId="0" borderId="0" xfId="2" applyFont="1" applyAlignment="1">
      <alignment horizontal="center" vertical="top"/>
    </xf>
    <xf numFmtId="43" fontId="16" fillId="0" borderId="0" xfId="3" applyFont="1" applyBorder="1" applyAlignment="1">
      <alignment horizontal="right" vertical="top"/>
    </xf>
    <xf numFmtId="43" fontId="16" fillId="0" borderId="0" xfId="3" applyFont="1" applyBorder="1" applyAlignment="1">
      <alignment vertical="top"/>
    </xf>
    <xf numFmtId="0" fontId="6" fillId="0" borderId="0" xfId="2" applyFont="1" applyAlignment="1">
      <alignment horizontal="left" vertical="top"/>
    </xf>
    <xf numFmtId="0" fontId="7" fillId="0" borderId="1" xfId="2" applyFont="1" applyBorder="1" applyAlignment="1">
      <alignment vertical="top"/>
    </xf>
    <xf numFmtId="0" fontId="18" fillId="9" borderId="0" xfId="0" applyFont="1" applyFill="1" applyAlignment="1">
      <alignment horizontal="center" vertical="top"/>
    </xf>
    <xf numFmtId="0" fontId="19" fillId="5" borderId="1" xfId="0" applyFont="1" applyFill="1" applyBorder="1" applyAlignment="1">
      <alignment horizontal="center" vertical="top"/>
    </xf>
    <xf numFmtId="0" fontId="19" fillId="5" borderId="8" xfId="0" applyFont="1" applyFill="1" applyBorder="1" applyAlignment="1">
      <alignment horizontal="center" vertical="top"/>
    </xf>
    <xf numFmtId="0" fontId="19" fillId="5" borderId="0" xfId="0" applyFont="1" applyFill="1" applyAlignment="1">
      <alignment horizontal="center" vertical="top"/>
    </xf>
    <xf numFmtId="0" fontId="20" fillId="0" borderId="0" xfId="0" applyFont="1" applyAlignment="1">
      <alignment vertical="top"/>
    </xf>
    <xf numFmtId="0" fontId="20" fillId="0" borderId="0" xfId="0" applyFont="1"/>
    <xf numFmtId="164" fontId="20" fillId="0" borderId="0" xfId="0" applyNumberFormat="1" applyFont="1"/>
    <xf numFmtId="0" fontId="19" fillId="5" borderId="1" xfId="0" applyFont="1" applyFill="1" applyBorder="1" applyAlignment="1">
      <alignment horizontal="center" vertical="top"/>
    </xf>
    <xf numFmtId="0" fontId="20" fillId="0" borderId="1" xfId="0" applyFont="1" applyBorder="1" applyAlignment="1">
      <alignment vertical="top" wrapText="1"/>
    </xf>
    <xf numFmtId="0" fontId="19" fillId="0" borderId="5" xfId="0" applyFont="1" applyBorder="1" applyAlignment="1">
      <alignment horizontal="center" vertical="top"/>
    </xf>
    <xf numFmtId="0" fontId="19" fillId="0" borderId="6" xfId="0" applyFont="1" applyBorder="1" applyAlignment="1">
      <alignment horizontal="center" vertical="top"/>
    </xf>
    <xf numFmtId="0" fontId="19" fillId="0" borderId="7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left" vertical="top" wrapText="1"/>
    </xf>
    <xf numFmtId="164" fontId="20" fillId="0" borderId="1" xfId="0" applyNumberFormat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43" fontId="20" fillId="18" borderId="1" xfId="0" applyNumberFormat="1" applyFont="1" applyFill="1" applyBorder="1" applyAlignment="1">
      <alignment vertical="top" wrapText="1"/>
    </xf>
    <xf numFmtId="0" fontId="20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164" fontId="20" fillId="0" borderId="1" xfId="0" quotePrefix="1" applyNumberFormat="1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9" fontId="20" fillId="0" borderId="1" xfId="0" applyNumberFormat="1" applyFont="1" applyBorder="1" applyAlignment="1">
      <alignment horizontal="left" vertical="top" wrapText="1"/>
    </xf>
    <xf numFmtId="43" fontId="20" fillId="0" borderId="1" xfId="0" applyNumberFormat="1" applyFont="1" applyBorder="1" applyAlignment="1">
      <alignment vertical="top"/>
    </xf>
    <xf numFmtId="164" fontId="20" fillId="0" borderId="6" xfId="0" applyNumberFormat="1" applyFont="1" applyBorder="1" applyAlignment="1">
      <alignment vertical="top" wrapText="1"/>
    </xf>
    <xf numFmtId="164" fontId="20" fillId="0" borderId="7" xfId="0" applyNumberFormat="1" applyFont="1" applyBorder="1" applyAlignment="1">
      <alignment vertical="top" wrapText="1"/>
    </xf>
    <xf numFmtId="43" fontId="20" fillId="0" borderId="1" xfId="0" applyNumberFormat="1" applyFont="1" applyBorder="1" applyAlignment="1">
      <alignment vertical="top" wrapText="1"/>
    </xf>
    <xf numFmtId="164" fontId="20" fillId="0" borderId="1" xfId="0" applyNumberFormat="1" applyFont="1" applyBorder="1" applyAlignment="1">
      <alignment horizontal="right" vertical="center" wrapText="1"/>
    </xf>
    <xf numFmtId="0" fontId="20" fillId="0" borderId="1" xfId="0" applyFont="1" applyBorder="1" applyAlignment="1">
      <alignment horizontal="right" vertical="center" wrapText="1"/>
    </xf>
    <xf numFmtId="164" fontId="20" fillId="0" borderId="1" xfId="0" applyNumberFormat="1" applyFont="1" applyBorder="1" applyAlignment="1">
      <alignment vertical="top" wrapText="1"/>
    </xf>
    <xf numFmtId="0" fontId="20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20" fillId="0" borderId="8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0" fillId="0" borderId="5" xfId="0" applyFont="1" applyBorder="1" applyAlignment="1">
      <alignment vertical="top" wrapText="1"/>
    </xf>
    <xf numFmtId="0" fontId="20" fillId="0" borderId="6" xfId="0" applyFont="1" applyBorder="1" applyAlignment="1">
      <alignment vertical="top" wrapText="1"/>
    </xf>
    <xf numFmtId="0" fontId="20" fillId="0" borderId="7" xfId="0" applyFont="1" applyBorder="1" applyAlignment="1">
      <alignment vertical="top" wrapText="1"/>
    </xf>
    <xf numFmtId="164" fontId="20" fillId="0" borderId="1" xfId="0" applyNumberFormat="1" applyFont="1" applyBorder="1" applyAlignment="1">
      <alignment horizontal="right" vertical="top" wrapText="1"/>
    </xf>
    <xf numFmtId="0" fontId="20" fillId="9" borderId="1" xfId="0" applyFont="1" applyFill="1" applyBorder="1" applyAlignment="1">
      <alignment horizontal="right" vertical="top" wrapText="1"/>
    </xf>
    <xf numFmtId="0" fontId="3" fillId="9" borderId="1" xfId="0" applyFont="1" applyFill="1" applyBorder="1" applyAlignment="1">
      <alignment horizontal="right" vertical="top"/>
    </xf>
    <xf numFmtId="0" fontId="20" fillId="9" borderId="1" xfId="0" applyFont="1" applyFill="1" applyBorder="1" applyAlignment="1">
      <alignment horizontal="left" vertical="top" wrapText="1"/>
    </xf>
    <xf numFmtId="43" fontId="3" fillId="9" borderId="1" xfId="0" applyNumberFormat="1" applyFont="1" applyFill="1" applyBorder="1" applyAlignment="1">
      <alignment vertical="top"/>
    </xf>
    <xf numFmtId="43" fontId="20" fillId="0" borderId="0" xfId="0" applyNumberFormat="1" applyFont="1" applyAlignment="1">
      <alignment vertical="top"/>
    </xf>
  </cellXfs>
  <cellStyles count="5">
    <cellStyle name="Comma" xfId="1" builtinId="3"/>
    <cellStyle name="Comma 2" xfId="3" xr:uid="{787AF1D1-2A28-4088-AF9C-673F49220CE0}"/>
    <cellStyle name="Normal" xfId="0" builtinId="0"/>
    <cellStyle name="Normal 2" xfId="2" xr:uid="{0BA1FC21-7CA6-4B50-B745-7405C9854595}"/>
    <cellStyle name="Percent 2" xfId="4" xr:uid="{ADDC2515-B7EB-46AD-AEA3-76131928F5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B2F2-4137-47F3-A29C-8566C2DC4CCF}">
  <sheetPr>
    <tabColor theme="9" tint="0.79998168889431442"/>
  </sheetPr>
  <dimension ref="A1:Y189"/>
  <sheetViews>
    <sheetView tabSelected="1" topLeftCell="A149" zoomScale="85" zoomScaleNormal="85" workbookViewId="0">
      <selection activeCell="A156" sqref="A156:J156"/>
    </sheetView>
  </sheetViews>
  <sheetFormatPr defaultRowHeight="14.5" x14ac:dyDescent="0.35"/>
  <cols>
    <col min="1" max="1" width="13.6328125" style="2" customWidth="1"/>
    <col min="2" max="2" width="18.54296875" style="2" customWidth="1"/>
    <col min="3" max="3" width="25.81640625" style="2" customWidth="1"/>
    <col min="4" max="4" width="17.90625" style="2" bestFit="1" customWidth="1"/>
    <col min="5" max="5" width="18.81640625" style="2" customWidth="1"/>
    <col min="6" max="6" width="23.54296875" style="2" customWidth="1"/>
    <col min="7" max="7" width="38.36328125" style="2" customWidth="1"/>
    <col min="8" max="8" width="16.453125" style="2" customWidth="1"/>
    <col min="9" max="9" width="16.1796875" style="2" bestFit="1" customWidth="1"/>
    <col min="10" max="10" width="15.36328125" style="2" customWidth="1"/>
    <col min="11" max="11" width="13.54296875" style="2" customWidth="1"/>
    <col min="12" max="12" width="14.1796875" style="2" customWidth="1"/>
    <col min="13" max="13" width="17.1796875" style="2" customWidth="1"/>
    <col min="14" max="14" width="15.36328125" style="2" customWidth="1"/>
    <col min="15" max="15" width="14.08984375" style="2" customWidth="1"/>
    <col min="16" max="16" width="14.6328125" style="2" bestFit="1" customWidth="1"/>
    <col min="17" max="17" width="11.81640625" style="2" bestFit="1" customWidth="1"/>
    <col min="18" max="18" width="14.90625" style="2" customWidth="1"/>
    <col min="19" max="19" width="15.453125" style="2" customWidth="1"/>
    <col min="20" max="20" width="12" style="2" customWidth="1"/>
    <col min="21" max="21" width="12.7265625" style="2" customWidth="1"/>
    <col min="22" max="22" width="13" style="2" customWidth="1"/>
    <col min="23" max="23" width="14.36328125" style="2" customWidth="1"/>
    <col min="24" max="24" width="15.1796875" style="2" customWidth="1"/>
    <col min="25" max="25" width="14.453125" style="2" customWidth="1"/>
    <col min="26" max="27" width="11.08984375" style="2" customWidth="1"/>
    <col min="28" max="16384" width="8.7265625" style="2"/>
  </cols>
  <sheetData>
    <row r="1" spans="1:12" x14ac:dyDescent="0.35">
      <c r="A1" s="1" t="s">
        <v>0</v>
      </c>
    </row>
    <row r="3" spans="1:12" x14ac:dyDescent="0.3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x14ac:dyDescent="0.35">
      <c r="A5" s="1" t="s">
        <v>2</v>
      </c>
      <c r="B5" s="4"/>
      <c r="C5" s="5"/>
      <c r="D5" s="5"/>
      <c r="E5" s="5"/>
    </row>
    <row r="6" spans="1:12" x14ac:dyDescent="0.35">
      <c r="B6" s="4"/>
      <c r="C6" s="5"/>
      <c r="D6" s="5"/>
      <c r="E6" s="6" t="s">
        <v>3</v>
      </c>
      <c r="F6" s="6"/>
      <c r="G6" s="6" t="s">
        <v>4</v>
      </c>
      <c r="H6" s="6"/>
    </row>
    <row r="7" spans="1:12" ht="26" x14ac:dyDescent="0.35"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8</v>
      </c>
      <c r="H7" s="7" t="s">
        <v>9</v>
      </c>
    </row>
    <row r="8" spans="1:12" ht="52" x14ac:dyDescent="0.35">
      <c r="B8" s="8" t="s">
        <v>10</v>
      </c>
      <c r="C8" s="8" t="s">
        <v>11</v>
      </c>
      <c r="D8" s="8" t="s">
        <v>12</v>
      </c>
      <c r="E8" s="8" t="s">
        <v>13</v>
      </c>
      <c r="F8" s="8" t="s">
        <v>14</v>
      </c>
      <c r="G8" s="8" t="s">
        <v>15</v>
      </c>
      <c r="H8" s="8" t="s">
        <v>16</v>
      </c>
    </row>
    <row r="9" spans="1:12" ht="26" x14ac:dyDescent="0.35">
      <c r="B9" s="8"/>
      <c r="C9" s="8" t="s">
        <v>11</v>
      </c>
      <c r="D9" s="8" t="s">
        <v>12</v>
      </c>
      <c r="E9" s="8"/>
      <c r="F9" s="8"/>
      <c r="G9" s="8"/>
      <c r="H9" s="8"/>
    </row>
    <row r="11" spans="1:12" x14ac:dyDescent="0.35">
      <c r="A11" s="1" t="s">
        <v>17</v>
      </c>
    </row>
    <row r="12" spans="1:12" x14ac:dyDescent="0.35">
      <c r="B12" s="4"/>
      <c r="C12" s="5"/>
      <c r="D12" s="5"/>
      <c r="E12" s="6" t="s">
        <v>3</v>
      </c>
      <c r="F12" s="6"/>
      <c r="G12" s="9" t="s">
        <v>4</v>
      </c>
      <c r="H12" s="9"/>
    </row>
    <row r="13" spans="1:12" ht="26" x14ac:dyDescent="0.35">
      <c r="B13" s="7" t="s">
        <v>5</v>
      </c>
      <c r="C13" s="7" t="s">
        <v>6</v>
      </c>
      <c r="D13" s="7" t="s">
        <v>7</v>
      </c>
      <c r="E13" s="7" t="s">
        <v>8</v>
      </c>
      <c r="F13" s="7" t="s">
        <v>9</v>
      </c>
      <c r="G13" s="10" t="s">
        <v>8</v>
      </c>
      <c r="H13" s="10" t="s">
        <v>9</v>
      </c>
    </row>
    <row r="14" spans="1:12" ht="52" x14ac:dyDescent="0.35">
      <c r="B14" s="8" t="s">
        <v>10</v>
      </c>
      <c r="C14" s="8" t="s">
        <v>11</v>
      </c>
      <c r="D14" s="8" t="s">
        <v>12</v>
      </c>
      <c r="E14" s="8" t="s">
        <v>13</v>
      </c>
      <c r="F14" s="8" t="s">
        <v>14</v>
      </c>
      <c r="G14" s="8" t="s">
        <v>15</v>
      </c>
      <c r="H14" s="8" t="s">
        <v>16</v>
      </c>
    </row>
    <row r="15" spans="1:12" x14ac:dyDescent="0.35">
      <c r="B15" s="11"/>
      <c r="C15" s="12"/>
      <c r="D15" s="13"/>
      <c r="E15" s="14"/>
      <c r="F15" s="15"/>
      <c r="G15" s="16"/>
      <c r="H15" s="16"/>
    </row>
    <row r="17" spans="1:12" x14ac:dyDescent="0.35">
      <c r="A17" s="1" t="s">
        <v>18</v>
      </c>
    </row>
    <row r="18" spans="1:12" x14ac:dyDescent="0.35">
      <c r="B18" s="4"/>
      <c r="C18" s="5"/>
      <c r="D18" s="5"/>
      <c r="E18" s="6" t="s">
        <v>3</v>
      </c>
      <c r="F18" s="6"/>
      <c r="G18" s="9" t="s">
        <v>4</v>
      </c>
      <c r="H18" s="9"/>
    </row>
    <row r="19" spans="1:12" ht="26" x14ac:dyDescent="0.35">
      <c r="B19" s="7" t="s">
        <v>5</v>
      </c>
      <c r="C19" s="7" t="s">
        <v>6</v>
      </c>
      <c r="D19" s="7" t="s">
        <v>7</v>
      </c>
      <c r="E19" s="7" t="s">
        <v>8</v>
      </c>
      <c r="F19" s="7" t="s">
        <v>9</v>
      </c>
      <c r="G19" s="10" t="s">
        <v>8</v>
      </c>
      <c r="H19" s="10" t="s">
        <v>9</v>
      </c>
    </row>
    <row r="20" spans="1:12" ht="52" x14ac:dyDescent="0.35">
      <c r="B20" s="8" t="s">
        <v>10</v>
      </c>
      <c r="C20" s="8" t="s">
        <v>11</v>
      </c>
      <c r="D20" s="8" t="s">
        <v>12</v>
      </c>
      <c r="E20" s="8" t="s">
        <v>13</v>
      </c>
      <c r="F20" s="8" t="s">
        <v>14</v>
      </c>
      <c r="G20" s="8" t="s">
        <v>15</v>
      </c>
      <c r="H20" s="8" t="s">
        <v>16</v>
      </c>
    </row>
    <row r="21" spans="1:12" x14ac:dyDescent="0.35">
      <c r="B21" s="11"/>
      <c r="C21" s="12"/>
      <c r="D21" s="13"/>
      <c r="E21" s="14"/>
      <c r="F21" s="15"/>
      <c r="G21" s="16"/>
      <c r="H21" s="16"/>
    </row>
    <row r="23" spans="1:12" x14ac:dyDescent="0.35">
      <c r="A23" s="17" t="s">
        <v>19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5" spans="1:12" s="18" customFormat="1" x14ac:dyDescent="0.35">
      <c r="B25" s="19" t="s">
        <v>20</v>
      </c>
      <c r="C25" s="20" t="s">
        <v>21</v>
      </c>
      <c r="D25" s="21"/>
      <c r="E25" s="21"/>
      <c r="F25" s="21"/>
      <c r="G25" s="22"/>
      <c r="H25" s="21"/>
      <c r="I25" s="23"/>
    </row>
    <row r="26" spans="1:12" s="18" customFormat="1" ht="15" customHeight="1" x14ac:dyDescent="0.35">
      <c r="A26" s="24"/>
      <c r="B26" s="21"/>
      <c r="C26" s="21"/>
      <c r="D26" s="21"/>
      <c r="E26" s="21"/>
      <c r="F26" s="21"/>
      <c r="G26" s="22"/>
      <c r="H26" s="21"/>
      <c r="I26" s="23"/>
    </row>
    <row r="27" spans="1:12" s="18" customFormat="1" ht="59" customHeight="1" x14ac:dyDescent="0.35">
      <c r="A27" s="24"/>
      <c r="B27" s="25" t="s">
        <v>22</v>
      </c>
      <c r="C27" s="25" t="s">
        <v>23</v>
      </c>
      <c r="D27" s="25" t="s">
        <v>24</v>
      </c>
      <c r="E27" s="25" t="s">
        <v>25</v>
      </c>
      <c r="F27" s="25" t="s">
        <v>26</v>
      </c>
      <c r="G27" s="26" t="s">
        <v>27</v>
      </c>
      <c r="H27" s="21"/>
      <c r="I27" s="23"/>
    </row>
    <row r="28" spans="1:12" s="18" customFormat="1" ht="15" customHeight="1" x14ac:dyDescent="0.35">
      <c r="A28" s="24"/>
      <c r="B28" s="27" t="s">
        <v>28</v>
      </c>
      <c r="C28" s="28" t="s">
        <v>29</v>
      </c>
      <c r="D28" s="28" t="s">
        <v>30</v>
      </c>
      <c r="E28" s="28" t="s">
        <v>31</v>
      </c>
      <c r="F28" s="29" t="s">
        <v>32</v>
      </c>
      <c r="G28" s="29" t="s">
        <v>32</v>
      </c>
      <c r="H28" s="23"/>
      <c r="I28" s="23"/>
    </row>
    <row r="29" spans="1:12" s="18" customFormat="1" x14ac:dyDescent="0.35">
      <c r="A29" s="24"/>
      <c r="C29" s="21"/>
      <c r="D29" s="21"/>
      <c r="E29" s="21"/>
      <c r="F29" s="21"/>
      <c r="G29" s="22"/>
      <c r="H29" s="21"/>
      <c r="I29" s="23"/>
    </row>
    <row r="30" spans="1:12" s="18" customFormat="1" x14ac:dyDescent="0.35">
      <c r="A30" s="30">
        <v>1</v>
      </c>
      <c r="B30" s="24" t="s">
        <v>33</v>
      </c>
      <c r="C30" s="21"/>
      <c r="D30" s="21"/>
      <c r="E30" s="21"/>
      <c r="F30" s="21"/>
      <c r="G30" s="22"/>
      <c r="H30" s="21"/>
      <c r="I30" s="23"/>
    </row>
    <row r="31" spans="1:12" s="18" customFormat="1" x14ac:dyDescent="0.35">
      <c r="A31" s="24"/>
      <c r="C31" s="21"/>
    </row>
    <row r="32" spans="1:12" s="18" customFormat="1" ht="15" customHeight="1" x14ac:dyDescent="0.35">
      <c r="A32" s="24"/>
      <c r="D32" s="31" t="s">
        <v>34</v>
      </c>
      <c r="E32" s="32"/>
      <c r="F32" s="33"/>
      <c r="H32" s="34" t="s">
        <v>35</v>
      </c>
      <c r="I32" s="35"/>
      <c r="K32" s="2"/>
    </row>
    <row r="33" spans="1:12" s="18" customFormat="1" ht="14.5" customHeight="1" x14ac:dyDescent="0.35">
      <c r="A33" s="24"/>
      <c r="B33" s="25" t="s">
        <v>36</v>
      </c>
      <c r="C33" s="25" t="s">
        <v>37</v>
      </c>
      <c r="D33" s="7" t="s">
        <v>38</v>
      </c>
      <c r="E33" s="7" t="s">
        <v>39</v>
      </c>
      <c r="F33" s="25" t="s">
        <v>40</v>
      </c>
      <c r="H33" s="25" t="s">
        <v>41</v>
      </c>
      <c r="I33" s="25" t="s">
        <v>42</v>
      </c>
    </row>
    <row r="34" spans="1:12" s="18" customFormat="1" ht="39" x14ac:dyDescent="0.35">
      <c r="A34" s="36" t="s">
        <v>43</v>
      </c>
      <c r="B34" s="37" t="s">
        <v>44</v>
      </c>
      <c r="C34" s="38" t="s">
        <v>45</v>
      </c>
      <c r="D34" s="39" t="s">
        <v>46</v>
      </c>
      <c r="E34" s="39" t="s">
        <v>46</v>
      </c>
      <c r="F34" s="39" t="s">
        <v>46</v>
      </c>
      <c r="H34" s="40" t="s">
        <v>47</v>
      </c>
      <c r="I34" s="40" t="s">
        <v>47</v>
      </c>
    </row>
    <row r="35" spans="1:12" s="18" customFormat="1" ht="29" x14ac:dyDescent="0.35">
      <c r="A35" s="36" t="s">
        <v>48</v>
      </c>
      <c r="B35" s="37" t="s">
        <v>49</v>
      </c>
      <c r="C35" s="38" t="s">
        <v>45</v>
      </c>
      <c r="D35" s="39" t="s">
        <v>50</v>
      </c>
      <c r="E35" s="39" t="s">
        <v>50</v>
      </c>
      <c r="F35" s="39" t="s">
        <v>50</v>
      </c>
      <c r="G35" s="2"/>
      <c r="H35" s="2"/>
      <c r="I35" s="2"/>
      <c r="J35" s="2"/>
      <c r="K35" s="2"/>
    </row>
    <row r="36" spans="1:12" s="18" customFormat="1" ht="39" x14ac:dyDescent="0.35">
      <c r="A36" s="36" t="s">
        <v>51</v>
      </c>
      <c r="B36" s="37" t="s">
        <v>52</v>
      </c>
      <c r="C36" s="38" t="s">
        <v>45</v>
      </c>
      <c r="D36" s="39" t="s">
        <v>53</v>
      </c>
      <c r="E36" s="39" t="s">
        <v>53</v>
      </c>
      <c r="F36" s="39" t="s">
        <v>53</v>
      </c>
      <c r="G36" s="2"/>
      <c r="H36" s="2"/>
      <c r="I36" s="2"/>
      <c r="J36" s="2"/>
      <c r="K36" s="2"/>
    </row>
    <row r="37" spans="1:12" s="18" customForma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9" spans="1:12" s="18" customFormat="1" x14ac:dyDescent="0.35">
      <c r="A39" s="30">
        <v>2</v>
      </c>
      <c r="B39" s="24" t="s">
        <v>54</v>
      </c>
      <c r="C39" s="21"/>
      <c r="D39" s="21"/>
      <c r="E39" s="21"/>
      <c r="F39" s="30"/>
      <c r="G39" s="30"/>
      <c r="H39" s="30"/>
      <c r="I39" s="30"/>
      <c r="L39" s="21"/>
    </row>
    <row r="40" spans="1:12" s="18" customFormat="1" x14ac:dyDescent="0.35">
      <c r="A40" s="41"/>
      <c r="B40" s="42" t="s">
        <v>55</v>
      </c>
      <c r="C40" s="43" t="s">
        <v>56</v>
      </c>
      <c r="D40" s="44" t="s">
        <v>57</v>
      </c>
      <c r="E40" s="21"/>
      <c r="F40" s="45"/>
      <c r="G40" s="45"/>
      <c r="H40" s="45"/>
      <c r="I40" s="45"/>
      <c r="J40" s="45"/>
      <c r="K40" s="45"/>
      <c r="L40" s="45"/>
    </row>
    <row r="41" spans="1:12" s="18" customFormat="1" ht="26" x14ac:dyDescent="0.35">
      <c r="A41" s="41"/>
      <c r="B41" s="42" t="s">
        <v>58</v>
      </c>
      <c r="C41" s="46" t="s">
        <v>59</v>
      </c>
      <c r="D41" s="44" t="s">
        <v>60</v>
      </c>
      <c r="E41" s="47" t="s">
        <v>61</v>
      </c>
      <c r="F41" s="45"/>
      <c r="G41" s="45"/>
      <c r="H41" s="45"/>
      <c r="I41" s="45"/>
      <c r="J41" s="45"/>
      <c r="K41" s="45"/>
      <c r="L41" s="45"/>
    </row>
    <row r="42" spans="1:12" s="18" customFormat="1" x14ac:dyDescent="0.35">
      <c r="A42" s="41"/>
      <c r="B42" s="42"/>
      <c r="C42" s="47"/>
      <c r="D42" s="47"/>
      <c r="E42" s="47"/>
      <c r="F42" s="45"/>
      <c r="G42" s="45"/>
      <c r="H42" s="45"/>
      <c r="I42" s="45"/>
      <c r="J42" s="45"/>
      <c r="K42" s="45"/>
      <c r="L42" s="45"/>
    </row>
    <row r="43" spans="1:12" s="18" customFormat="1" x14ac:dyDescent="0.35">
      <c r="A43" s="41"/>
      <c r="B43" s="2"/>
      <c r="C43" s="48" t="s">
        <v>62</v>
      </c>
      <c r="D43" s="48" t="s">
        <v>63</v>
      </c>
      <c r="E43" s="2"/>
      <c r="F43" s="2"/>
      <c r="G43" s="49"/>
      <c r="H43" s="2"/>
      <c r="I43" s="45"/>
      <c r="J43" s="45"/>
      <c r="K43" s="45"/>
      <c r="L43" s="45"/>
    </row>
    <row r="44" spans="1:12" s="18" customFormat="1" x14ac:dyDescent="0.35">
      <c r="A44" s="41"/>
      <c r="B44" s="2"/>
      <c r="C44" s="2"/>
      <c r="D44" s="2"/>
      <c r="E44" s="2"/>
      <c r="F44" s="2"/>
      <c r="G44" s="49"/>
      <c r="H44" s="2"/>
      <c r="I44" s="45"/>
      <c r="J44" s="45"/>
      <c r="K44" s="45"/>
      <c r="L44" s="45"/>
    </row>
    <row r="45" spans="1:12" s="18" customFormat="1" x14ac:dyDescent="0.35">
      <c r="A45" s="41"/>
      <c r="B45" s="50" t="s">
        <v>64</v>
      </c>
      <c r="C45" s="51" t="s">
        <v>65</v>
      </c>
      <c r="D45" s="51" t="s">
        <v>66</v>
      </c>
      <c r="E45" s="51" t="s">
        <v>67</v>
      </c>
      <c r="F45" s="51" t="s">
        <v>68</v>
      </c>
      <c r="G45" s="51" t="s">
        <v>69</v>
      </c>
      <c r="I45" s="45"/>
      <c r="J45" s="45"/>
      <c r="K45" s="45"/>
      <c r="L45" s="45"/>
    </row>
    <row r="46" spans="1:12" s="18" customFormat="1" x14ac:dyDescent="0.35">
      <c r="A46" s="41"/>
      <c r="B46" s="2"/>
      <c r="C46" s="52" t="s">
        <v>70</v>
      </c>
      <c r="D46" s="52" t="s">
        <v>71</v>
      </c>
      <c r="E46" s="53" t="s">
        <v>72</v>
      </c>
      <c r="F46" s="54" t="s">
        <v>73</v>
      </c>
      <c r="G46" s="55" t="s">
        <v>74</v>
      </c>
      <c r="H46" s="56" t="s">
        <v>75</v>
      </c>
      <c r="I46" s="45"/>
      <c r="J46" s="45"/>
      <c r="K46" s="45"/>
      <c r="L46" s="45"/>
    </row>
    <row r="47" spans="1:12" s="18" customFormat="1" x14ac:dyDescent="0.35">
      <c r="A47" s="41"/>
      <c r="B47" s="2"/>
      <c r="C47" s="2"/>
      <c r="D47" s="2"/>
      <c r="E47" s="2"/>
      <c r="F47" s="2"/>
      <c r="G47" s="49"/>
      <c r="H47" s="2"/>
      <c r="I47" s="45"/>
      <c r="J47" s="45"/>
      <c r="K47" s="45"/>
      <c r="L47" s="45"/>
    </row>
    <row r="48" spans="1:12" s="18" customFormat="1" x14ac:dyDescent="0.35">
      <c r="A48" s="41"/>
      <c r="B48" s="50" t="s">
        <v>76</v>
      </c>
      <c r="C48" s="51" t="s">
        <v>65</v>
      </c>
      <c r="D48" s="51" t="s">
        <v>66</v>
      </c>
      <c r="E48" s="51" t="s">
        <v>67</v>
      </c>
      <c r="F48" s="51" t="s">
        <v>68</v>
      </c>
      <c r="G48" s="51" t="s">
        <v>69</v>
      </c>
      <c r="H48" s="2"/>
      <c r="I48" s="45"/>
      <c r="J48" s="45"/>
      <c r="K48" s="45"/>
      <c r="L48" s="45"/>
    </row>
    <row r="49" spans="1:12" s="18" customFormat="1" x14ac:dyDescent="0.35">
      <c r="A49" s="41"/>
      <c r="B49" s="2"/>
      <c r="C49" s="52" t="s">
        <v>70</v>
      </c>
      <c r="D49" s="57" t="s">
        <v>77</v>
      </c>
      <c r="E49" s="52" t="s">
        <v>71</v>
      </c>
      <c r="F49" s="54" t="s">
        <v>73</v>
      </c>
      <c r="G49" s="55" t="s">
        <v>74</v>
      </c>
      <c r="H49" s="56" t="s">
        <v>75</v>
      </c>
      <c r="I49" s="45"/>
      <c r="J49" s="45"/>
      <c r="K49" s="45"/>
      <c r="L49" s="45"/>
    </row>
    <row r="50" spans="1:12" s="18" customFormat="1" x14ac:dyDescent="0.35">
      <c r="A50" s="41"/>
      <c r="B50" s="47"/>
      <c r="C50" s="47"/>
      <c r="D50" s="47"/>
      <c r="E50" s="47"/>
      <c r="F50" s="45"/>
      <c r="G50" s="45"/>
      <c r="H50" s="45"/>
      <c r="I50" s="45"/>
      <c r="J50" s="45"/>
      <c r="K50" s="45"/>
      <c r="L50" s="45"/>
    </row>
    <row r="51" spans="1:12" s="18" customFormat="1" x14ac:dyDescent="0.35">
      <c r="A51" s="21"/>
      <c r="H51" s="21"/>
      <c r="I51" s="22"/>
      <c r="J51" s="21"/>
      <c r="K51" s="21"/>
      <c r="L51" s="21"/>
    </row>
    <row r="52" spans="1:12" s="58" customFormat="1" x14ac:dyDescent="0.35">
      <c r="B52" s="59" t="s">
        <v>78</v>
      </c>
      <c r="C52" s="2"/>
      <c r="D52" s="2"/>
      <c r="E52" s="2"/>
      <c r="F52" s="2"/>
      <c r="G52" s="60"/>
      <c r="H52" s="60"/>
      <c r="I52" s="60"/>
      <c r="J52" s="60"/>
      <c r="K52" s="60"/>
      <c r="L52" s="60"/>
    </row>
    <row r="53" spans="1:12" s="58" customFormat="1" x14ac:dyDescent="0.35">
      <c r="B53" s="59" t="s">
        <v>79</v>
      </c>
      <c r="C53" s="61" t="s">
        <v>80</v>
      </c>
      <c r="D53" s="44" t="s">
        <v>81</v>
      </c>
      <c r="E53" s="62" t="s">
        <v>82</v>
      </c>
      <c r="F53" s="2"/>
      <c r="G53" s="60"/>
      <c r="H53" s="60"/>
      <c r="I53" s="60"/>
      <c r="J53" s="60"/>
      <c r="K53" s="60"/>
      <c r="L53" s="60"/>
    </row>
    <row r="54" spans="1:12" s="58" customFormat="1" ht="26" x14ac:dyDescent="0.35">
      <c r="B54" s="42" t="s">
        <v>58</v>
      </c>
      <c r="C54" s="46" t="s">
        <v>59</v>
      </c>
      <c r="D54" s="2"/>
      <c r="E54" s="2"/>
      <c r="F54" s="2"/>
      <c r="G54" s="60"/>
      <c r="H54" s="60"/>
      <c r="I54" s="60"/>
      <c r="J54" s="60"/>
      <c r="K54" s="60"/>
      <c r="L54" s="60"/>
    </row>
    <row r="55" spans="1:12" s="58" customFormat="1" x14ac:dyDescent="0.35">
      <c r="C55" s="2"/>
      <c r="D55" s="2"/>
      <c r="E55" s="2"/>
      <c r="F55" s="2"/>
      <c r="G55" s="60"/>
      <c r="H55" s="60"/>
      <c r="I55" s="60"/>
      <c r="J55" s="60"/>
      <c r="K55" s="60"/>
      <c r="L55" s="60"/>
    </row>
    <row r="56" spans="1:12" s="58" customFormat="1" x14ac:dyDescent="0.35">
      <c r="A56" s="2"/>
      <c r="B56" s="2"/>
      <c r="C56" s="48" t="s">
        <v>62</v>
      </c>
      <c r="D56" s="48" t="s">
        <v>63</v>
      </c>
      <c r="E56" s="2"/>
      <c r="F56" s="2"/>
      <c r="G56" s="49"/>
      <c r="H56" s="2"/>
      <c r="I56" s="49"/>
      <c r="J56" s="2"/>
      <c r="K56" s="2"/>
      <c r="L56" s="2"/>
    </row>
    <row r="57" spans="1:12" s="58" customFormat="1" x14ac:dyDescent="0.35">
      <c r="A57" s="2"/>
      <c r="B57" s="2"/>
      <c r="C57" s="2"/>
      <c r="D57" s="2"/>
      <c r="E57" s="2"/>
      <c r="F57" s="2"/>
      <c r="G57" s="49"/>
      <c r="H57" s="2"/>
      <c r="I57" s="49"/>
      <c r="J57" s="2"/>
      <c r="K57" s="2"/>
      <c r="L57" s="2"/>
    </row>
    <row r="58" spans="1:12" s="58" customFormat="1" x14ac:dyDescent="0.35">
      <c r="A58" s="2"/>
      <c r="B58" s="50" t="s">
        <v>64</v>
      </c>
      <c r="C58" s="51" t="s">
        <v>65</v>
      </c>
      <c r="D58" s="51" t="s">
        <v>66</v>
      </c>
      <c r="E58" s="51" t="s">
        <v>67</v>
      </c>
      <c r="F58" s="51" t="s">
        <v>68</v>
      </c>
      <c r="G58" s="51" t="s">
        <v>69</v>
      </c>
      <c r="H58" s="2"/>
      <c r="I58" s="49"/>
      <c r="J58" s="2"/>
      <c r="K58" s="2"/>
      <c r="L58" s="2"/>
    </row>
    <row r="59" spans="1:12" s="58" customFormat="1" x14ac:dyDescent="0.35">
      <c r="A59" s="2"/>
      <c r="B59" s="2"/>
      <c r="C59" s="52" t="s">
        <v>70</v>
      </c>
      <c r="D59" s="52" t="s">
        <v>71</v>
      </c>
      <c r="E59" s="53" t="s">
        <v>72</v>
      </c>
      <c r="F59" s="54" t="s">
        <v>73</v>
      </c>
      <c r="G59" s="55" t="s">
        <v>74</v>
      </c>
      <c r="H59" s="56" t="s">
        <v>75</v>
      </c>
      <c r="I59" s="49"/>
      <c r="J59" s="2"/>
      <c r="K59" s="2"/>
      <c r="L59" s="2"/>
    </row>
    <row r="60" spans="1:12" s="58" customFormat="1" x14ac:dyDescent="0.35">
      <c r="A60" s="2"/>
      <c r="B60" s="2"/>
      <c r="C60" s="2"/>
      <c r="D60" s="2"/>
      <c r="E60" s="2"/>
      <c r="F60" s="2"/>
      <c r="G60" s="49"/>
      <c r="H60" s="2"/>
      <c r="I60" s="49"/>
      <c r="J60" s="2"/>
      <c r="K60" s="2"/>
      <c r="L60" s="2"/>
    </row>
    <row r="61" spans="1:12" s="58" customFormat="1" x14ac:dyDescent="0.35">
      <c r="A61" s="2"/>
      <c r="B61" s="50" t="s">
        <v>76</v>
      </c>
      <c r="C61" s="51" t="s">
        <v>65</v>
      </c>
      <c r="D61" s="51" t="s">
        <v>66</v>
      </c>
      <c r="E61" s="51" t="s">
        <v>67</v>
      </c>
      <c r="F61" s="51" t="s">
        <v>68</v>
      </c>
      <c r="G61" s="51" t="s">
        <v>69</v>
      </c>
      <c r="H61" s="2"/>
      <c r="I61" s="49"/>
      <c r="J61" s="2"/>
      <c r="K61" s="2"/>
      <c r="L61" s="2"/>
    </row>
    <row r="62" spans="1:12" s="58" customFormat="1" x14ac:dyDescent="0.35">
      <c r="A62" s="2"/>
      <c r="B62" s="2"/>
      <c r="C62" s="52" t="s">
        <v>70</v>
      </c>
      <c r="D62" s="57" t="s">
        <v>77</v>
      </c>
      <c r="E62" s="52" t="s">
        <v>71</v>
      </c>
      <c r="F62" s="54" t="s">
        <v>73</v>
      </c>
      <c r="G62" s="55" t="s">
        <v>74</v>
      </c>
      <c r="H62" s="56" t="s">
        <v>75</v>
      </c>
      <c r="I62" s="49"/>
      <c r="J62" s="2"/>
      <c r="K62" s="2"/>
      <c r="L62" s="2"/>
    </row>
    <row r="63" spans="1:12" s="18" customFormat="1" x14ac:dyDescent="0.35">
      <c r="A63" s="21"/>
      <c r="H63" s="21"/>
      <c r="I63" s="22"/>
      <c r="J63" s="21"/>
      <c r="K63" s="21"/>
      <c r="L63" s="21"/>
    </row>
    <row r="64" spans="1:12" s="18" customFormat="1" x14ac:dyDescent="0.35">
      <c r="A64" s="21"/>
      <c r="H64" s="21"/>
      <c r="I64" s="22"/>
      <c r="J64" s="21"/>
      <c r="K64" s="21"/>
      <c r="L64" s="21"/>
    </row>
    <row r="65" spans="1:12" s="18" customFormat="1" x14ac:dyDescent="0.35">
      <c r="A65" s="30">
        <v>3</v>
      </c>
      <c r="B65" s="24" t="s">
        <v>83</v>
      </c>
      <c r="C65" s="21"/>
      <c r="D65" s="21"/>
      <c r="E65" s="21"/>
      <c r="F65" s="21"/>
      <c r="G65" s="22"/>
      <c r="H65" s="21"/>
      <c r="I65" s="22"/>
      <c r="J65" s="21"/>
      <c r="K65" s="21"/>
      <c r="L65" s="21"/>
    </row>
    <row r="66" spans="1:12" s="18" customFormat="1" x14ac:dyDescent="0.35">
      <c r="A66" s="30"/>
      <c r="B66" s="24" t="s">
        <v>84</v>
      </c>
      <c r="C66" s="21"/>
      <c r="D66" s="21"/>
      <c r="E66" s="21"/>
      <c r="F66" s="21"/>
      <c r="G66" s="22"/>
      <c r="H66" s="21"/>
      <c r="I66" s="22"/>
      <c r="J66" s="21"/>
      <c r="K66" s="21"/>
      <c r="L66" s="21"/>
    </row>
    <row r="67" spans="1:12" s="18" customFormat="1" x14ac:dyDescent="0.35">
      <c r="A67" s="30"/>
      <c r="B67" s="63" t="s">
        <v>85</v>
      </c>
      <c r="C67" s="61" t="s">
        <v>80</v>
      </c>
      <c r="D67" s="21"/>
      <c r="E67" s="21"/>
      <c r="F67" s="21"/>
      <c r="G67" s="22"/>
      <c r="H67" s="21"/>
      <c r="I67" s="22"/>
      <c r="J67" s="21"/>
      <c r="K67" s="21"/>
      <c r="L67" s="21"/>
    </row>
    <row r="68" spans="1:12" s="18" customFormat="1" x14ac:dyDescent="0.35">
      <c r="A68" s="41"/>
      <c r="B68" s="25" t="s">
        <v>86</v>
      </c>
      <c r="C68" s="25" t="s">
        <v>87</v>
      </c>
      <c r="D68" s="25" t="s">
        <v>88</v>
      </c>
      <c r="E68" s="25" t="s">
        <v>89</v>
      </c>
      <c r="F68" s="25" t="s">
        <v>67</v>
      </c>
      <c r="G68" s="25" t="s">
        <v>90</v>
      </c>
      <c r="H68" s="25" t="s">
        <v>91</v>
      </c>
      <c r="I68" s="22"/>
      <c r="J68" s="21"/>
      <c r="K68" s="21"/>
      <c r="L68" s="21"/>
    </row>
    <row r="69" spans="1:12" s="18" customFormat="1" x14ac:dyDescent="0.35">
      <c r="A69" s="41"/>
      <c r="B69" s="30">
        <v>1</v>
      </c>
      <c r="C69" s="64" t="s">
        <v>92</v>
      </c>
      <c r="D69" s="64" t="s">
        <v>70</v>
      </c>
      <c r="E69" s="64" t="s">
        <v>93</v>
      </c>
      <c r="F69" s="65" t="s">
        <v>94</v>
      </c>
      <c r="G69" s="66" t="str">
        <f>$C$67&amp;"-"&amp;"KW 2"&amp;"- 01"</f>
        <v>(Select Master Product)-KW 2- 01</v>
      </c>
      <c r="H69" s="64" t="s">
        <v>95</v>
      </c>
      <c r="I69" s="22"/>
      <c r="J69" s="21"/>
      <c r="K69" s="21"/>
      <c r="L69" s="21"/>
    </row>
    <row r="70" spans="1:12" s="18" customFormat="1" x14ac:dyDescent="0.35">
      <c r="A70" s="41"/>
      <c r="B70" s="30">
        <v>2</v>
      </c>
      <c r="C70" s="64"/>
      <c r="D70" s="64"/>
      <c r="E70" s="64"/>
      <c r="F70" s="65"/>
      <c r="G70" s="66" t="str">
        <f>$C$67&amp;"-"&amp;"KW 2"&amp;"- 02"</f>
        <v>(Select Master Product)-KW 2- 02</v>
      </c>
      <c r="H70" s="64"/>
      <c r="I70" s="22"/>
      <c r="J70" s="21"/>
      <c r="K70" s="21"/>
      <c r="L70" s="21"/>
    </row>
    <row r="71" spans="1:12" s="18" customFormat="1" x14ac:dyDescent="0.35">
      <c r="A71" s="41"/>
      <c r="B71" s="21"/>
      <c r="C71" s="21"/>
      <c r="D71" s="21"/>
      <c r="E71" s="21"/>
      <c r="F71" s="21"/>
      <c r="G71" s="22"/>
      <c r="H71" s="21"/>
      <c r="I71" s="22"/>
      <c r="J71" s="21"/>
      <c r="K71" s="21"/>
      <c r="L71" s="21"/>
    </row>
    <row r="72" spans="1:12" s="18" customFormat="1" x14ac:dyDescent="0.35">
      <c r="A72" s="30"/>
      <c r="B72" s="24" t="s">
        <v>96</v>
      </c>
      <c r="C72" s="21"/>
      <c r="D72" s="21"/>
      <c r="E72" s="21"/>
      <c r="F72" s="21"/>
      <c r="G72" s="22"/>
      <c r="H72" s="21"/>
      <c r="I72" s="22"/>
      <c r="J72" s="21"/>
      <c r="K72" s="21"/>
      <c r="L72" s="21"/>
    </row>
    <row r="73" spans="1:12" s="18" customFormat="1" x14ac:dyDescent="0.35">
      <c r="A73" s="30"/>
      <c r="B73" s="63" t="s">
        <v>85</v>
      </c>
      <c r="C73" s="61" t="s">
        <v>80</v>
      </c>
      <c r="D73" s="21"/>
      <c r="E73" s="21"/>
      <c r="F73" s="21"/>
      <c r="G73" s="22"/>
      <c r="H73" s="21"/>
      <c r="I73" s="22"/>
      <c r="J73" s="21"/>
      <c r="K73" s="21"/>
      <c r="L73" s="21"/>
    </row>
    <row r="74" spans="1:12" s="18" customFormat="1" x14ac:dyDescent="0.35">
      <c r="A74" s="41"/>
      <c r="B74" s="25" t="s">
        <v>86</v>
      </c>
      <c r="C74" s="25" t="s">
        <v>87</v>
      </c>
      <c r="D74" s="25" t="s">
        <v>88</v>
      </c>
      <c r="E74" s="25" t="s">
        <v>89</v>
      </c>
      <c r="F74" s="25" t="s">
        <v>67</v>
      </c>
      <c r="G74" s="25" t="s">
        <v>90</v>
      </c>
      <c r="H74" s="25" t="s">
        <v>91</v>
      </c>
      <c r="J74" s="21"/>
      <c r="K74" s="21"/>
      <c r="L74" s="21"/>
    </row>
    <row r="75" spans="1:12" s="18" customFormat="1" x14ac:dyDescent="0.35">
      <c r="A75" s="41"/>
      <c r="B75" s="30">
        <v>1</v>
      </c>
      <c r="C75" s="64" t="s">
        <v>92</v>
      </c>
      <c r="D75" s="64" t="s">
        <v>70</v>
      </c>
      <c r="E75" s="64" t="s">
        <v>93</v>
      </c>
      <c r="F75" s="65" t="s">
        <v>94</v>
      </c>
      <c r="G75" s="66" t="str">
        <f>$C$67&amp;"-"&amp;"KW 2"&amp;"- 01"</f>
        <v>(Select Master Product)-KW 2- 01</v>
      </c>
      <c r="H75" s="64" t="s">
        <v>95</v>
      </c>
      <c r="I75" s="67" t="s">
        <v>97</v>
      </c>
      <c r="J75" s="21"/>
      <c r="K75" s="21"/>
      <c r="L75" s="21"/>
    </row>
    <row r="76" spans="1:12" s="18" customFormat="1" x14ac:dyDescent="0.35">
      <c r="A76" s="41"/>
      <c r="B76" s="30">
        <v>2</v>
      </c>
      <c r="C76" s="64"/>
      <c r="D76" s="64"/>
      <c r="E76" s="64"/>
      <c r="F76" s="65"/>
      <c r="G76" s="66" t="str">
        <f>$C$67&amp;"-"&amp;"KW 2"&amp;"- 02"</f>
        <v>(Select Master Product)-KW 2- 02</v>
      </c>
      <c r="H76" s="64"/>
      <c r="I76" s="22"/>
      <c r="J76" s="21"/>
      <c r="K76" s="21"/>
      <c r="L76" s="21"/>
    </row>
    <row r="77" spans="1:12" s="18" customFormat="1" x14ac:dyDescent="0.35">
      <c r="A77" s="41"/>
      <c r="B77" s="21"/>
      <c r="C77" s="21"/>
      <c r="D77" s="21"/>
      <c r="E77" s="21"/>
      <c r="F77" s="21"/>
      <c r="G77" s="22"/>
      <c r="H77" s="21"/>
      <c r="I77" s="22"/>
      <c r="J77" s="21"/>
      <c r="K77" s="21"/>
      <c r="L77" s="21"/>
    </row>
    <row r="78" spans="1:12" s="18" customFormat="1" x14ac:dyDescent="0.35">
      <c r="A78" s="30">
        <v>4</v>
      </c>
      <c r="B78" s="24" t="s">
        <v>98</v>
      </c>
      <c r="C78" s="21"/>
      <c r="D78" s="21"/>
      <c r="E78" s="21"/>
      <c r="F78" s="21"/>
      <c r="G78" s="22"/>
      <c r="H78" s="21"/>
      <c r="I78" s="22"/>
      <c r="J78" s="21"/>
      <c r="K78" s="21"/>
      <c r="L78" s="21"/>
    </row>
    <row r="79" spans="1:12" s="18" customFormat="1" ht="26" x14ac:dyDescent="0.35">
      <c r="A79" s="30"/>
      <c r="B79" s="19" t="s">
        <v>99</v>
      </c>
      <c r="C79" s="46" t="s">
        <v>59</v>
      </c>
      <c r="D79" s="21"/>
      <c r="E79" s="21"/>
      <c r="F79" s="21"/>
      <c r="G79" s="22"/>
      <c r="H79" s="21"/>
      <c r="I79" s="22"/>
      <c r="J79" s="21"/>
      <c r="K79" s="21"/>
      <c r="L79" s="21"/>
    </row>
    <row r="80" spans="1:12" s="18" customFormat="1" x14ac:dyDescent="0.35">
      <c r="A80" s="41"/>
      <c r="B80" s="19" t="s">
        <v>100</v>
      </c>
      <c r="C80" s="68" t="s">
        <v>101</v>
      </c>
      <c r="D80" s="69" t="s">
        <v>102</v>
      </c>
      <c r="E80" s="70"/>
      <c r="F80" s="21"/>
      <c r="G80" s="21"/>
      <c r="H80" s="70"/>
      <c r="I80" s="22"/>
      <c r="J80" s="21"/>
      <c r="K80" s="21"/>
      <c r="L80" s="21"/>
    </row>
    <row r="81" spans="1:12" s="18" customFormat="1" x14ac:dyDescent="0.35">
      <c r="A81" s="41"/>
      <c r="B81" s="19"/>
      <c r="C81" s="19"/>
      <c r="D81" s="69"/>
      <c r="E81" s="21"/>
      <c r="F81" s="21"/>
      <c r="G81" s="21"/>
      <c r="H81" s="21"/>
      <c r="I81" s="22"/>
      <c r="J81" s="21"/>
      <c r="K81" s="21"/>
      <c r="L81" s="21"/>
    </row>
    <row r="82" spans="1:12" s="18" customFormat="1" x14ac:dyDescent="0.35">
      <c r="A82" s="41"/>
      <c r="B82" s="21"/>
      <c r="C82" s="21"/>
      <c r="D82" s="21"/>
      <c r="E82" s="21"/>
      <c r="F82" s="21"/>
      <c r="G82" s="22"/>
      <c r="H82" s="21"/>
      <c r="I82" s="22"/>
      <c r="J82" s="21"/>
      <c r="K82" s="21"/>
      <c r="L82" s="21"/>
    </row>
    <row r="83" spans="1:12" s="18" customFormat="1" x14ac:dyDescent="0.35">
      <c r="A83" s="30">
        <v>5</v>
      </c>
      <c r="B83" s="24" t="s">
        <v>103</v>
      </c>
      <c r="C83" s="21"/>
      <c r="D83" s="21"/>
      <c r="E83" s="21"/>
      <c r="F83" s="21"/>
      <c r="G83" s="22"/>
      <c r="H83" s="21"/>
      <c r="I83" s="22"/>
      <c r="J83" s="21"/>
      <c r="K83" s="21"/>
      <c r="L83" s="21"/>
    </row>
    <row r="84" spans="1:12" s="18" customFormat="1" ht="26" x14ac:dyDescent="0.35">
      <c r="A84" s="41"/>
      <c r="B84" s="19" t="s">
        <v>104</v>
      </c>
      <c r="C84" s="46" t="s">
        <v>59</v>
      </c>
      <c r="D84" s="44" t="s">
        <v>60</v>
      </c>
      <c r="E84" s="71" t="s">
        <v>105</v>
      </c>
      <c r="F84" s="21"/>
      <c r="G84" s="22"/>
      <c r="H84" s="21"/>
      <c r="I84" s="22"/>
      <c r="J84" s="21"/>
      <c r="K84" s="21"/>
      <c r="L84" s="21"/>
    </row>
    <row r="85" spans="1:12" s="18" customFormat="1" x14ac:dyDescent="0.35">
      <c r="A85" s="41"/>
      <c r="B85" s="19" t="s">
        <v>106</v>
      </c>
      <c r="C85" s="68" t="s">
        <v>107</v>
      </c>
      <c r="D85" s="69" t="s">
        <v>108</v>
      </c>
      <c r="E85" s="21"/>
      <c r="F85" s="21"/>
      <c r="G85" s="22"/>
      <c r="H85" s="21"/>
      <c r="I85" s="22"/>
      <c r="J85" s="21"/>
      <c r="K85" s="21"/>
      <c r="L85" s="21"/>
    </row>
    <row r="86" spans="1:12" s="18" customFormat="1" x14ac:dyDescent="0.35">
      <c r="A86" s="41"/>
      <c r="B86" s="21"/>
      <c r="C86" s="21"/>
      <c r="D86" s="72"/>
      <c r="E86" s="21"/>
      <c r="F86" s="21"/>
      <c r="G86" s="22"/>
      <c r="H86" s="21"/>
      <c r="I86" s="22"/>
      <c r="J86" s="21"/>
      <c r="K86" s="21"/>
      <c r="L86" s="21"/>
    </row>
    <row r="87" spans="1:12" s="18" customFormat="1" x14ac:dyDescent="0.35">
      <c r="A87" s="41"/>
      <c r="B87" s="21"/>
      <c r="C87" s="21"/>
      <c r="D87" s="72"/>
      <c r="E87" s="21"/>
      <c r="F87" s="21"/>
      <c r="G87" s="22"/>
      <c r="H87" s="21"/>
      <c r="I87" s="22"/>
      <c r="J87" s="21"/>
      <c r="K87" s="21"/>
      <c r="L87" s="21"/>
    </row>
    <row r="88" spans="1:12" s="18" customFormat="1" x14ac:dyDescent="0.35">
      <c r="A88" s="30">
        <v>6</v>
      </c>
      <c r="B88" s="24" t="s">
        <v>109</v>
      </c>
      <c r="C88" s="21"/>
      <c r="D88" s="21"/>
      <c r="E88" s="21"/>
      <c r="F88" s="21"/>
      <c r="G88" s="22"/>
      <c r="H88" s="21"/>
      <c r="I88" s="22"/>
      <c r="J88" s="21"/>
      <c r="K88" s="21"/>
      <c r="L88" s="21"/>
    </row>
    <row r="89" spans="1:12" s="18" customFormat="1" x14ac:dyDescent="0.35">
      <c r="A89" s="41"/>
      <c r="C89" s="25" t="s">
        <v>110</v>
      </c>
      <c r="D89" s="25" t="s">
        <v>111</v>
      </c>
      <c r="E89" s="25" t="s">
        <v>112</v>
      </c>
      <c r="F89" s="21"/>
      <c r="G89" s="22"/>
      <c r="H89" s="21"/>
      <c r="I89" s="22"/>
      <c r="J89" s="21"/>
      <c r="K89" s="21"/>
      <c r="L89" s="21"/>
    </row>
    <row r="90" spans="1:12" s="18" customFormat="1" x14ac:dyDescent="0.35">
      <c r="A90" s="41"/>
      <c r="C90" s="64" t="s">
        <v>70</v>
      </c>
      <c r="D90" s="64" t="s">
        <v>70</v>
      </c>
      <c r="E90" s="64" t="s">
        <v>70</v>
      </c>
      <c r="F90" s="21"/>
      <c r="G90" s="22"/>
      <c r="H90" s="21"/>
      <c r="I90" s="22"/>
      <c r="J90" s="21"/>
      <c r="K90" s="21"/>
      <c r="L90" s="21"/>
    </row>
    <row r="91" spans="1:12" s="18" customFormat="1" x14ac:dyDescent="0.35">
      <c r="A91" s="41"/>
      <c r="B91" s="21"/>
      <c r="C91" s="21"/>
      <c r="D91" s="21"/>
      <c r="E91" s="21"/>
      <c r="F91" s="21"/>
      <c r="G91" s="22"/>
      <c r="H91" s="21"/>
      <c r="I91" s="22"/>
      <c r="J91" s="21"/>
      <c r="K91" s="21"/>
      <c r="L91" s="21"/>
    </row>
    <row r="92" spans="1:12" s="18" customFormat="1" x14ac:dyDescent="0.35">
      <c r="A92" s="30"/>
      <c r="C92" s="73" t="s">
        <v>113</v>
      </c>
      <c r="D92" s="73"/>
      <c r="E92" s="73"/>
      <c r="F92" s="21"/>
      <c r="G92" s="22"/>
      <c r="H92" s="21"/>
      <c r="I92" s="22"/>
      <c r="J92" s="21"/>
      <c r="K92" s="21"/>
      <c r="L92" s="21"/>
    </row>
    <row r="93" spans="1:12" s="18" customFormat="1" x14ac:dyDescent="0.35">
      <c r="A93" s="41"/>
      <c r="B93" s="21"/>
      <c r="C93" s="25" t="s">
        <v>114</v>
      </c>
      <c r="D93" s="25" t="s">
        <v>115</v>
      </c>
      <c r="E93" s="25" t="s">
        <v>91</v>
      </c>
      <c r="F93" s="21"/>
      <c r="G93" s="22"/>
      <c r="H93" s="21"/>
      <c r="I93" s="22"/>
      <c r="J93" s="21"/>
      <c r="K93" s="21"/>
      <c r="L93" s="21"/>
    </row>
    <row r="94" spans="1:12" s="18" customFormat="1" x14ac:dyDescent="0.35">
      <c r="A94" s="41"/>
      <c r="B94" s="19" t="s">
        <v>116</v>
      </c>
      <c r="C94" s="64" t="s">
        <v>70</v>
      </c>
      <c r="D94" s="64" t="s">
        <v>70</v>
      </c>
      <c r="E94" s="64" t="s">
        <v>95</v>
      </c>
      <c r="F94" s="21"/>
      <c r="G94" s="22"/>
      <c r="H94" s="21"/>
      <c r="I94" s="22"/>
      <c r="J94" s="21"/>
      <c r="K94" s="21"/>
      <c r="L94" s="21"/>
    </row>
    <row r="95" spans="1:12" s="18" customFormat="1" x14ac:dyDescent="0.35">
      <c r="A95" s="41"/>
      <c r="B95" s="19" t="s">
        <v>117</v>
      </c>
      <c r="C95" s="64" t="s">
        <v>70</v>
      </c>
      <c r="D95" s="64" t="s">
        <v>70</v>
      </c>
      <c r="E95" s="64" t="s">
        <v>95</v>
      </c>
      <c r="F95" s="21"/>
      <c r="G95" s="22"/>
      <c r="H95" s="21"/>
      <c r="I95" s="22"/>
      <c r="J95" s="21"/>
      <c r="K95" s="21"/>
      <c r="L95" s="21"/>
    </row>
    <row r="96" spans="1:12" s="18" customFormat="1" x14ac:dyDescent="0.35">
      <c r="A96" s="41"/>
      <c r="B96" s="21"/>
      <c r="C96" s="21"/>
      <c r="D96" s="21"/>
      <c r="E96" s="21"/>
      <c r="F96" s="21"/>
      <c r="G96" s="22"/>
      <c r="H96" s="21"/>
      <c r="I96" s="22"/>
      <c r="J96" s="21"/>
      <c r="K96" s="21"/>
      <c r="L96" s="21"/>
    </row>
    <row r="97" spans="1:14" s="18" customFormat="1" x14ac:dyDescent="0.35">
      <c r="A97" s="30"/>
      <c r="B97" s="19" t="s">
        <v>118</v>
      </c>
      <c r="C97" s="74" t="s">
        <v>119</v>
      </c>
      <c r="D97" s="21"/>
      <c r="E97" s="21"/>
      <c r="F97" s="21"/>
      <c r="G97" s="22"/>
      <c r="H97" s="21"/>
      <c r="I97" s="22"/>
      <c r="J97" s="21"/>
      <c r="K97" s="21"/>
      <c r="L97" s="21"/>
    </row>
    <row r="98" spans="1:14" s="18" customFormat="1" x14ac:dyDescent="0.35">
      <c r="A98" s="41"/>
      <c r="E98" s="21"/>
      <c r="F98" s="21"/>
      <c r="G98" s="22"/>
      <c r="H98" s="21"/>
      <c r="I98" s="22"/>
      <c r="J98" s="21"/>
      <c r="K98" s="21"/>
      <c r="L98" s="21"/>
    </row>
    <row r="99" spans="1:14" s="18" customFormat="1" x14ac:dyDescent="0.35">
      <c r="A99" s="41"/>
      <c r="B99" s="21"/>
      <c r="C99" s="21"/>
      <c r="D99" s="21"/>
      <c r="E99" s="21"/>
      <c r="F99" s="21"/>
      <c r="G99" s="22"/>
      <c r="H99" s="21"/>
      <c r="I99" s="22"/>
      <c r="J99" s="21"/>
      <c r="K99" s="21"/>
      <c r="L99" s="21"/>
    </row>
    <row r="100" spans="1:14" s="18" customFormat="1" x14ac:dyDescent="0.35">
      <c r="A100" s="30">
        <v>7</v>
      </c>
      <c r="B100" s="24" t="s">
        <v>120</v>
      </c>
      <c r="C100" s="21"/>
      <c r="D100" s="75"/>
      <c r="E100" s="21"/>
      <c r="F100" s="21"/>
      <c r="G100" s="22"/>
      <c r="H100" s="21"/>
      <c r="I100" s="22"/>
      <c r="J100" s="21"/>
      <c r="K100" s="21"/>
      <c r="L100" s="21"/>
    </row>
    <row r="101" spans="1:14" s="18" customFormat="1" ht="19" x14ac:dyDescent="0.35">
      <c r="A101" s="41"/>
      <c r="B101" s="76" t="s">
        <v>121</v>
      </c>
      <c r="C101" s="76" t="s">
        <v>122</v>
      </c>
      <c r="D101" s="77" t="s">
        <v>123</v>
      </c>
      <c r="E101" s="78"/>
      <c r="F101" s="78"/>
      <c r="G101" s="78"/>
      <c r="H101" s="79" t="s">
        <v>124</v>
      </c>
      <c r="I101" s="79" t="s">
        <v>125</v>
      </c>
      <c r="J101" s="76" t="s">
        <v>126</v>
      </c>
      <c r="K101" s="76" t="s">
        <v>127</v>
      </c>
      <c r="L101" s="76" t="s">
        <v>128</v>
      </c>
      <c r="M101" s="76" t="s">
        <v>129</v>
      </c>
    </row>
    <row r="102" spans="1:14" s="18" customFormat="1" ht="39" x14ac:dyDescent="0.35">
      <c r="A102" s="41"/>
      <c r="B102" s="80" t="s">
        <v>130</v>
      </c>
      <c r="C102" s="80" t="s">
        <v>131</v>
      </c>
      <c r="D102" s="81" t="str">
        <f>C97</f>
        <v>(Total Semua Scrap)</v>
      </c>
      <c r="E102" s="82"/>
      <c r="F102" s="82"/>
      <c r="G102" s="83"/>
      <c r="H102" s="80" t="s">
        <v>132</v>
      </c>
      <c r="I102" s="80" t="s">
        <v>133</v>
      </c>
      <c r="J102" s="84" t="s">
        <v>134</v>
      </c>
      <c r="K102" s="40" t="s">
        <v>135</v>
      </c>
      <c r="L102" s="84" t="s">
        <v>136</v>
      </c>
      <c r="M102" s="85" t="s">
        <v>137</v>
      </c>
      <c r="N102" s="56" t="s">
        <v>75</v>
      </c>
    </row>
    <row r="103" spans="1:14" s="18" customFormat="1" x14ac:dyDescent="0.35">
      <c r="A103" s="41"/>
      <c r="B103" s="21"/>
      <c r="C103" s="21"/>
      <c r="D103" s="21"/>
      <c r="E103" s="21"/>
      <c r="F103" s="21"/>
      <c r="G103" s="22"/>
      <c r="H103" s="22"/>
      <c r="J103" s="21"/>
      <c r="K103" s="21"/>
      <c r="L103" s="21"/>
      <c r="N103" s="86" t="s">
        <v>138</v>
      </c>
    </row>
    <row r="104" spans="1:14" s="18" customFormat="1" x14ac:dyDescent="0.35">
      <c r="A104" s="41"/>
      <c r="B104" s="21"/>
      <c r="C104" s="21"/>
      <c r="D104" s="21"/>
      <c r="E104" s="21"/>
      <c r="F104" s="21"/>
      <c r="G104" s="22"/>
      <c r="H104" s="22"/>
      <c r="I104" s="21"/>
      <c r="J104" s="21"/>
      <c r="K104" s="21"/>
      <c r="M104" s="86"/>
    </row>
    <row r="105" spans="1:14" s="18" customFormat="1" x14ac:dyDescent="0.3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</row>
    <row r="106" spans="1:14" s="18" customFormat="1" x14ac:dyDescent="0.35">
      <c r="A106" s="41"/>
      <c r="B106" s="41"/>
      <c r="C106" s="41"/>
      <c r="D106" s="41"/>
      <c r="E106" s="41"/>
      <c r="F106" s="41"/>
      <c r="G106" s="87" t="s">
        <v>139</v>
      </c>
      <c r="H106" s="88" t="s">
        <v>140</v>
      </c>
      <c r="I106" s="41"/>
      <c r="J106" s="41"/>
      <c r="K106" s="41"/>
      <c r="L106" s="41"/>
      <c r="M106" s="41"/>
    </row>
    <row r="107" spans="1:14" s="18" customFormat="1" x14ac:dyDescent="0.35">
      <c r="A107" s="41"/>
      <c r="B107" s="41"/>
      <c r="C107" s="41"/>
      <c r="D107" s="41"/>
      <c r="E107" s="41"/>
      <c r="F107" s="41"/>
      <c r="G107" s="89" t="s">
        <v>141</v>
      </c>
      <c r="I107" s="41"/>
      <c r="J107" s="41"/>
      <c r="K107" s="41"/>
      <c r="L107" s="41"/>
      <c r="M107" s="41"/>
    </row>
    <row r="108" spans="1:14" s="18" customFormat="1" x14ac:dyDescent="0.35">
      <c r="G108" s="18" t="s">
        <v>142</v>
      </c>
      <c r="I108" s="23"/>
      <c r="K108" s="90"/>
    </row>
    <row r="109" spans="1:14" s="18" customFormat="1" x14ac:dyDescent="0.35">
      <c r="G109" s="18" t="s">
        <v>143</v>
      </c>
      <c r="H109" s="21"/>
      <c r="I109" s="23"/>
    </row>
    <row r="110" spans="1:14" s="18" customFormat="1" x14ac:dyDescent="0.35">
      <c r="I110" s="23"/>
    </row>
    <row r="111" spans="1:14" s="18" customFormat="1" x14ac:dyDescent="0.35">
      <c r="I111" s="23"/>
    </row>
    <row r="112" spans="1:14" x14ac:dyDescent="0.35">
      <c r="A112" s="91" t="s">
        <v>144</v>
      </c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</row>
    <row r="113" spans="1:25" x14ac:dyDescent="0.35">
      <c r="L113" s="92"/>
    </row>
    <row r="114" spans="1:25" s="18" customFormat="1" x14ac:dyDescent="0.35">
      <c r="B114" s="21"/>
      <c r="C114" s="21"/>
      <c r="D114" s="21"/>
      <c r="E114" s="21"/>
      <c r="G114" s="73" t="s">
        <v>145</v>
      </c>
      <c r="H114" s="73"/>
      <c r="I114" s="73"/>
      <c r="J114" s="73"/>
      <c r="K114" s="73"/>
      <c r="L114" s="73"/>
      <c r="M114" s="73"/>
      <c r="N114" s="73"/>
      <c r="P114" s="93" t="s">
        <v>146</v>
      </c>
      <c r="Q114" s="93"/>
      <c r="R114" s="93"/>
      <c r="S114" s="93"/>
      <c r="T114" s="93"/>
      <c r="U114" s="93"/>
      <c r="V114" s="93"/>
      <c r="W114" s="93"/>
    </row>
    <row r="115" spans="1:25" s="18" customFormat="1" ht="29" x14ac:dyDescent="0.35">
      <c r="A115" s="25" t="s">
        <v>86</v>
      </c>
      <c r="B115" s="25" t="s">
        <v>147</v>
      </c>
      <c r="C115" s="7" t="s">
        <v>148</v>
      </c>
      <c r="D115" s="25" t="s">
        <v>149</v>
      </c>
      <c r="E115" s="25" t="s">
        <v>87</v>
      </c>
      <c r="F115" s="94" t="s">
        <v>150</v>
      </c>
      <c r="G115" s="25" t="s">
        <v>151</v>
      </c>
      <c r="H115" s="7" t="s">
        <v>152</v>
      </c>
      <c r="I115" s="7" t="s">
        <v>153</v>
      </c>
      <c r="J115" s="7" t="s">
        <v>154</v>
      </c>
      <c r="K115" s="7" t="s">
        <v>155</v>
      </c>
      <c r="L115" s="95" t="s">
        <v>156</v>
      </c>
      <c r="M115" s="96" t="s">
        <v>157</v>
      </c>
      <c r="N115" s="96" t="s">
        <v>158</v>
      </c>
      <c r="O115" s="96" t="s">
        <v>159</v>
      </c>
      <c r="P115" s="96" t="s">
        <v>160</v>
      </c>
      <c r="Q115" s="7" t="s">
        <v>152</v>
      </c>
      <c r="R115" s="7" t="s">
        <v>153</v>
      </c>
      <c r="S115" s="7" t="s">
        <v>154</v>
      </c>
      <c r="T115" s="7" t="s">
        <v>155</v>
      </c>
      <c r="U115" s="96" t="s">
        <v>156</v>
      </c>
      <c r="V115" s="96" t="s">
        <v>157</v>
      </c>
      <c r="W115" s="96" t="s">
        <v>161</v>
      </c>
    </row>
    <row r="116" spans="1:25" s="18" customFormat="1" ht="101.5" x14ac:dyDescent="0.35">
      <c r="A116" s="97">
        <v>1</v>
      </c>
      <c r="B116" s="98" t="s">
        <v>162</v>
      </c>
      <c r="C116" s="99" t="s">
        <v>163</v>
      </c>
      <c r="D116" s="100" t="s">
        <v>164</v>
      </c>
      <c r="E116" s="8" t="s">
        <v>165</v>
      </c>
      <c r="F116" s="101" t="s">
        <v>166</v>
      </c>
      <c r="G116" s="102" t="s">
        <v>167</v>
      </c>
      <c r="H116" s="103" t="s">
        <v>168</v>
      </c>
      <c r="I116" s="103" t="s">
        <v>169</v>
      </c>
      <c r="J116" s="103" t="s">
        <v>170</v>
      </c>
      <c r="K116" s="103" t="s">
        <v>171</v>
      </c>
      <c r="L116" s="103" t="s">
        <v>172</v>
      </c>
      <c r="M116" s="103" t="s">
        <v>173</v>
      </c>
      <c r="N116" s="103" t="s">
        <v>174</v>
      </c>
      <c r="O116" s="104" t="s">
        <v>175</v>
      </c>
      <c r="P116" s="103" t="s">
        <v>176</v>
      </c>
      <c r="Q116" s="103" t="s">
        <v>177</v>
      </c>
      <c r="R116" s="103" t="s">
        <v>178</v>
      </c>
      <c r="S116" s="103" t="s">
        <v>179</v>
      </c>
      <c r="T116" s="103" t="s">
        <v>180</v>
      </c>
      <c r="U116" s="103" t="s">
        <v>181</v>
      </c>
      <c r="V116" s="103" t="s">
        <v>182</v>
      </c>
      <c r="W116" s="103" t="s">
        <v>174</v>
      </c>
      <c r="X116" s="90"/>
    </row>
    <row r="117" spans="1:25" s="18" customFormat="1" ht="39" x14ac:dyDescent="0.35">
      <c r="A117" s="97">
        <v>2</v>
      </c>
      <c r="B117" s="105" t="s">
        <v>162</v>
      </c>
      <c r="C117" s="97"/>
      <c r="D117" s="106"/>
      <c r="E117" s="97"/>
      <c r="F117" s="107"/>
      <c r="G117" s="108"/>
      <c r="H117" s="106"/>
      <c r="I117" s="108"/>
      <c r="J117" s="106"/>
      <c r="K117" s="106"/>
      <c r="L117" s="109"/>
      <c r="M117" s="106"/>
      <c r="N117" s="110"/>
      <c r="O117" s="97"/>
      <c r="P117" s="106"/>
      <c r="Q117" s="106"/>
      <c r="R117" s="106"/>
      <c r="S117" s="106"/>
      <c r="T117" s="106"/>
      <c r="U117" s="106"/>
      <c r="V117" s="106"/>
      <c r="W117" s="110"/>
    </row>
    <row r="118" spans="1:25" s="18" customFormat="1" x14ac:dyDescent="0.35">
      <c r="A118" s="41"/>
      <c r="B118" s="111"/>
      <c r="C118" s="30"/>
      <c r="D118" s="90"/>
      <c r="E118" s="41"/>
      <c r="F118" s="23"/>
      <c r="G118" s="23"/>
      <c r="H118" s="90"/>
      <c r="I118" s="23"/>
      <c r="L118" s="112"/>
      <c r="M118" s="90"/>
      <c r="N118" s="90"/>
      <c r="P118" s="113">
        <f t="shared" ref="P118:V118" si="0">SUM(P116:P117)</f>
        <v>0</v>
      </c>
      <c r="Q118" s="113">
        <f t="shared" si="0"/>
        <v>0</v>
      </c>
      <c r="R118" s="113">
        <f t="shared" si="0"/>
        <v>0</v>
      </c>
      <c r="S118" s="113">
        <f t="shared" si="0"/>
        <v>0</v>
      </c>
      <c r="T118" s="113">
        <f t="shared" si="0"/>
        <v>0</v>
      </c>
      <c r="U118" s="113">
        <f t="shared" si="0"/>
        <v>0</v>
      </c>
      <c r="V118" s="113">
        <f t="shared" si="0"/>
        <v>0</v>
      </c>
    </row>
    <row r="119" spans="1:25" s="18" customFormat="1" x14ac:dyDescent="0.35">
      <c r="A119" s="41"/>
      <c r="B119" s="111"/>
      <c r="C119" s="30"/>
      <c r="D119" s="90"/>
      <c r="E119" s="41"/>
      <c r="F119" s="23"/>
      <c r="G119" s="23"/>
      <c r="H119" s="90"/>
      <c r="I119" s="23"/>
      <c r="J119" s="90"/>
      <c r="K119" s="90"/>
      <c r="L119" s="114"/>
      <c r="N119" s="113"/>
      <c r="O119" s="113"/>
      <c r="P119" s="113"/>
    </row>
    <row r="120" spans="1:25" s="18" customFormat="1" x14ac:dyDescent="0.35">
      <c r="A120" s="115" t="s">
        <v>183</v>
      </c>
      <c r="B120" s="111"/>
      <c r="C120" s="41"/>
      <c r="D120" s="90"/>
      <c r="E120" s="41"/>
      <c r="F120" s="116"/>
      <c r="G120" s="23"/>
      <c r="I120" s="23"/>
      <c r="K120" s="23"/>
      <c r="L120" s="114"/>
    </row>
    <row r="121" spans="1:25" s="18" customFormat="1" x14ac:dyDescent="0.35">
      <c r="A121" s="115" t="s">
        <v>184</v>
      </c>
      <c r="B121" s="111"/>
      <c r="C121" s="41"/>
      <c r="D121" s="90"/>
      <c r="E121" s="41"/>
      <c r="F121" s="23"/>
      <c r="G121" s="117" t="s">
        <v>145</v>
      </c>
      <c r="H121" s="118"/>
      <c r="I121" s="118"/>
      <c r="J121" s="118"/>
      <c r="K121" s="118"/>
      <c r="L121" s="118"/>
      <c r="M121" s="118"/>
      <c r="N121" s="119"/>
      <c r="P121" s="120" t="s">
        <v>185</v>
      </c>
      <c r="Q121" s="121"/>
      <c r="R121" s="121"/>
      <c r="S121" s="121"/>
      <c r="T121" s="121"/>
      <c r="U121" s="121"/>
      <c r="V121" s="121"/>
      <c r="W121" s="122"/>
    </row>
    <row r="122" spans="1:25" s="18" customFormat="1" ht="58" x14ac:dyDescent="0.35">
      <c r="A122" s="25" t="s">
        <v>86</v>
      </c>
      <c r="B122" s="25" t="s">
        <v>147</v>
      </c>
      <c r="C122" s="25" t="s">
        <v>186</v>
      </c>
      <c r="D122" s="25" t="s">
        <v>149</v>
      </c>
      <c r="E122" s="25" t="s">
        <v>87</v>
      </c>
      <c r="F122" s="94" t="s">
        <v>150</v>
      </c>
      <c r="G122" s="25" t="s">
        <v>151</v>
      </c>
      <c r="H122" s="7" t="s">
        <v>187</v>
      </c>
      <c r="I122" s="7" t="s">
        <v>188</v>
      </c>
      <c r="J122" s="7" t="s">
        <v>189</v>
      </c>
      <c r="K122" s="7" t="s">
        <v>190</v>
      </c>
      <c r="L122" s="95" t="s">
        <v>191</v>
      </c>
      <c r="M122" s="96" t="s">
        <v>192</v>
      </c>
      <c r="N122" s="96" t="s">
        <v>158</v>
      </c>
      <c r="O122" s="123" t="s">
        <v>193</v>
      </c>
      <c r="P122" s="96" t="s">
        <v>160</v>
      </c>
      <c r="Q122" s="7" t="s">
        <v>152</v>
      </c>
      <c r="R122" s="7" t="s">
        <v>153</v>
      </c>
      <c r="S122" s="7" t="s">
        <v>194</v>
      </c>
      <c r="T122" s="7" t="s">
        <v>155</v>
      </c>
      <c r="U122" s="96" t="s">
        <v>156</v>
      </c>
      <c r="V122" s="96" t="s">
        <v>157</v>
      </c>
      <c r="W122" s="96" t="s">
        <v>161</v>
      </c>
      <c r="X122" s="96" t="s">
        <v>195</v>
      </c>
      <c r="Y122" s="96" t="s">
        <v>196</v>
      </c>
    </row>
    <row r="123" spans="1:25" s="18" customFormat="1" ht="101.5" x14ac:dyDescent="0.35">
      <c r="A123" s="97">
        <v>1</v>
      </c>
      <c r="B123" s="98" t="s">
        <v>197</v>
      </c>
      <c r="C123" s="99" t="s">
        <v>198</v>
      </c>
      <c r="D123" s="100" t="s">
        <v>199</v>
      </c>
      <c r="E123" s="8" t="s">
        <v>165</v>
      </c>
      <c r="F123" s="101" t="s">
        <v>166</v>
      </c>
      <c r="G123" s="102" t="s">
        <v>167</v>
      </c>
      <c r="H123" s="103" t="s">
        <v>168</v>
      </c>
      <c r="I123" s="103" t="s">
        <v>169</v>
      </c>
      <c r="J123" s="103" t="s">
        <v>170</v>
      </c>
      <c r="K123" s="103" t="s">
        <v>171</v>
      </c>
      <c r="L123" s="103" t="s">
        <v>172</v>
      </c>
      <c r="M123" s="103" t="s">
        <v>173</v>
      </c>
      <c r="N123" s="103" t="s">
        <v>174</v>
      </c>
      <c r="O123" s="104" t="s">
        <v>175</v>
      </c>
      <c r="P123" s="103" t="s">
        <v>176</v>
      </c>
      <c r="Q123" s="103" t="s">
        <v>177</v>
      </c>
      <c r="R123" s="103" t="s">
        <v>178</v>
      </c>
      <c r="S123" s="103" t="s">
        <v>179</v>
      </c>
      <c r="T123" s="103" t="s">
        <v>180</v>
      </c>
      <c r="U123" s="103" t="s">
        <v>181</v>
      </c>
      <c r="V123" s="103" t="s">
        <v>182</v>
      </c>
      <c r="W123" s="103" t="s">
        <v>174</v>
      </c>
      <c r="X123" s="103" t="s">
        <v>200</v>
      </c>
      <c r="Y123" s="103" t="s">
        <v>201</v>
      </c>
    </row>
    <row r="124" spans="1:25" s="18" customFormat="1" x14ac:dyDescent="0.35">
      <c r="A124" s="41"/>
      <c r="B124" s="111"/>
      <c r="C124" s="30"/>
      <c r="D124" s="90"/>
      <c r="E124" s="41"/>
      <c r="F124" s="124"/>
      <c r="G124" s="124"/>
      <c r="H124" s="113"/>
      <c r="I124" s="124"/>
      <c r="J124" s="90"/>
      <c r="K124" s="90"/>
      <c r="L124" s="114"/>
    </row>
    <row r="125" spans="1:25" s="18" customFormat="1" x14ac:dyDescent="0.35">
      <c r="A125" s="41"/>
      <c r="B125" s="111"/>
      <c r="C125" s="30"/>
      <c r="D125" s="90"/>
      <c r="E125" s="41"/>
      <c r="F125" s="124"/>
      <c r="G125" s="124"/>
      <c r="H125" s="113"/>
      <c r="I125" s="124"/>
      <c r="J125" s="90"/>
      <c r="K125" s="90"/>
      <c r="L125" s="114"/>
    </row>
    <row r="126" spans="1:25" s="18" customFormat="1" x14ac:dyDescent="0.35">
      <c r="A126" s="41"/>
      <c r="B126" s="111"/>
      <c r="D126" s="90"/>
      <c r="E126" s="41"/>
      <c r="F126" s="23"/>
      <c r="G126" s="23"/>
      <c r="H126" s="90"/>
      <c r="I126" s="23"/>
      <c r="J126" s="90"/>
      <c r="K126" s="90"/>
      <c r="L126" s="114"/>
    </row>
    <row r="127" spans="1:25" s="18" customFormat="1" x14ac:dyDescent="0.35">
      <c r="A127" s="115" t="s">
        <v>202</v>
      </c>
      <c r="B127" s="111"/>
      <c r="C127" s="41"/>
      <c r="D127" s="90"/>
      <c r="E127" s="41"/>
      <c r="F127" s="23"/>
      <c r="G127" s="117" t="s">
        <v>145</v>
      </c>
      <c r="H127" s="118"/>
      <c r="I127" s="118"/>
      <c r="J127" s="118"/>
      <c r="K127" s="118"/>
      <c r="L127" s="118"/>
      <c r="M127" s="118"/>
      <c r="N127" s="119"/>
      <c r="P127" s="120" t="s">
        <v>185</v>
      </c>
      <c r="Q127" s="121"/>
      <c r="R127" s="121"/>
      <c r="S127" s="121"/>
      <c r="T127" s="121"/>
      <c r="U127" s="121"/>
      <c r="V127" s="121"/>
      <c r="W127" s="122"/>
    </row>
    <row r="128" spans="1:25" s="18" customFormat="1" ht="58" x14ac:dyDescent="0.35">
      <c r="A128" s="25" t="s">
        <v>86</v>
      </c>
      <c r="B128" s="25" t="s">
        <v>147</v>
      </c>
      <c r="C128" s="25" t="s">
        <v>186</v>
      </c>
      <c r="D128" s="25" t="s">
        <v>149</v>
      </c>
      <c r="E128" s="25" t="s">
        <v>87</v>
      </c>
      <c r="F128" s="94" t="s">
        <v>150</v>
      </c>
      <c r="G128" s="25" t="s">
        <v>151</v>
      </c>
      <c r="H128" s="7" t="s">
        <v>187</v>
      </c>
      <c r="I128" s="7" t="s">
        <v>188</v>
      </c>
      <c r="J128" s="7" t="s">
        <v>189</v>
      </c>
      <c r="K128" s="7" t="s">
        <v>190</v>
      </c>
      <c r="L128" s="95" t="s">
        <v>191</v>
      </c>
      <c r="M128" s="96" t="s">
        <v>192</v>
      </c>
      <c r="N128" s="96" t="s">
        <v>158</v>
      </c>
      <c r="O128" s="123" t="s">
        <v>193</v>
      </c>
      <c r="P128" s="96" t="s">
        <v>160</v>
      </c>
      <c r="Q128" s="7" t="s">
        <v>152</v>
      </c>
      <c r="R128" s="7" t="s">
        <v>153</v>
      </c>
      <c r="S128" s="7" t="s">
        <v>194</v>
      </c>
      <c r="T128" s="7" t="s">
        <v>155</v>
      </c>
      <c r="U128" s="96" t="s">
        <v>156</v>
      </c>
      <c r="V128" s="96" t="s">
        <v>157</v>
      </c>
      <c r="W128" s="96" t="s">
        <v>161</v>
      </c>
      <c r="X128" s="96" t="s">
        <v>195</v>
      </c>
      <c r="Y128" s="96" t="s">
        <v>196</v>
      </c>
    </row>
    <row r="129" spans="1:25" s="18" customFormat="1" ht="101.5" x14ac:dyDescent="0.35">
      <c r="A129" s="97">
        <v>1</v>
      </c>
      <c r="B129" s="98" t="s">
        <v>203</v>
      </c>
      <c r="C129" s="99" t="s">
        <v>204</v>
      </c>
      <c r="D129" s="100" t="s">
        <v>205</v>
      </c>
      <c r="E129" s="8" t="s">
        <v>165</v>
      </c>
      <c r="F129" s="101" t="s">
        <v>166</v>
      </c>
      <c r="G129" s="102" t="s">
        <v>167</v>
      </c>
      <c r="H129" s="103" t="s">
        <v>168</v>
      </c>
      <c r="I129" s="103" t="s">
        <v>169</v>
      </c>
      <c r="J129" s="103" t="s">
        <v>170</v>
      </c>
      <c r="K129" s="103" t="s">
        <v>171</v>
      </c>
      <c r="L129" s="103" t="s">
        <v>172</v>
      </c>
      <c r="M129" s="103" t="s">
        <v>173</v>
      </c>
      <c r="N129" s="103" t="s">
        <v>174</v>
      </c>
      <c r="O129" s="104" t="s">
        <v>175</v>
      </c>
      <c r="P129" s="103" t="s">
        <v>176</v>
      </c>
      <c r="Q129" s="103" t="s">
        <v>177</v>
      </c>
      <c r="R129" s="103" t="s">
        <v>178</v>
      </c>
      <c r="S129" s="103" t="s">
        <v>179</v>
      </c>
      <c r="T129" s="103" t="s">
        <v>180</v>
      </c>
      <c r="U129" s="103" t="s">
        <v>181</v>
      </c>
      <c r="V129" s="103" t="s">
        <v>182</v>
      </c>
      <c r="W129" s="103" t="s">
        <v>174</v>
      </c>
      <c r="X129" s="103" t="s">
        <v>200</v>
      </c>
      <c r="Y129" s="103" t="s">
        <v>201</v>
      </c>
    </row>
    <row r="130" spans="1:25" s="18" customFormat="1" x14ac:dyDescent="0.35">
      <c r="A130" s="41"/>
      <c r="B130" s="111"/>
      <c r="C130" s="30"/>
      <c r="D130" s="90"/>
      <c r="E130" s="41"/>
      <c r="F130" s="124"/>
      <c r="G130" s="124"/>
      <c r="H130" s="113"/>
      <c r="I130" s="124"/>
      <c r="J130" s="90"/>
      <c r="K130" s="90"/>
      <c r="L130" s="114"/>
    </row>
    <row r="131" spans="1:25" s="18" customFormat="1" x14ac:dyDescent="0.35">
      <c r="A131" s="41"/>
      <c r="B131" s="111"/>
      <c r="C131" s="41"/>
      <c r="D131" s="90"/>
      <c r="E131" s="41"/>
      <c r="F131" s="23"/>
      <c r="G131" s="23"/>
      <c r="H131" s="90"/>
      <c r="I131" s="23"/>
      <c r="J131" s="90"/>
      <c r="K131" s="90"/>
      <c r="L131" s="114"/>
    </row>
    <row r="132" spans="1:25" s="18" customFormat="1" x14ac:dyDescent="0.35">
      <c r="A132" s="115" t="s">
        <v>109</v>
      </c>
      <c r="B132" s="111"/>
      <c r="C132" s="41"/>
      <c r="D132" s="90"/>
      <c r="E132" s="41"/>
      <c r="F132" s="23"/>
      <c r="G132" s="23"/>
      <c r="H132" s="90"/>
      <c r="I132" s="23"/>
      <c r="J132" s="90"/>
      <c r="K132" s="90"/>
      <c r="L132" s="114"/>
    </row>
    <row r="133" spans="1:25" s="18" customFormat="1" x14ac:dyDescent="0.35">
      <c r="B133" s="47"/>
      <c r="C133" s="47"/>
      <c r="D133" s="47"/>
      <c r="E133" s="47"/>
      <c r="F133" s="47"/>
      <c r="G133" s="47"/>
      <c r="H133" s="47"/>
      <c r="I133" s="22"/>
      <c r="J133" s="21"/>
      <c r="K133" s="21"/>
      <c r="L133" s="125"/>
    </row>
    <row r="134" spans="1:25" s="18" customFormat="1" ht="26" x14ac:dyDescent="0.35">
      <c r="B134" s="25" t="s">
        <v>86</v>
      </c>
      <c r="C134" s="25" t="s">
        <v>206</v>
      </c>
      <c r="D134" s="25" t="s">
        <v>207</v>
      </c>
      <c r="E134" s="126" t="s">
        <v>208</v>
      </c>
      <c r="F134" s="7" t="s">
        <v>209</v>
      </c>
      <c r="G134" s="7" t="s">
        <v>210</v>
      </c>
      <c r="I134" s="23"/>
      <c r="L134" s="114"/>
    </row>
    <row r="135" spans="1:25" s="18" customFormat="1" ht="58" x14ac:dyDescent="0.35">
      <c r="B135" s="97">
        <v>1</v>
      </c>
      <c r="C135" s="127" t="s">
        <v>211</v>
      </c>
      <c r="D135" s="128" t="s">
        <v>212</v>
      </c>
      <c r="E135" s="129" t="s">
        <v>213</v>
      </c>
      <c r="F135" s="130" t="s">
        <v>214</v>
      </c>
      <c r="G135" s="130" t="s">
        <v>215</v>
      </c>
      <c r="H135" s="21"/>
      <c r="I135" s="22"/>
      <c r="J135" s="21"/>
      <c r="K135" s="21"/>
      <c r="L135" s="125"/>
    </row>
    <row r="136" spans="1:25" s="18" customFormat="1" ht="58" x14ac:dyDescent="0.35">
      <c r="B136" s="97">
        <v>2</v>
      </c>
      <c r="C136" s="127" t="s">
        <v>216</v>
      </c>
      <c r="D136" s="128" t="s">
        <v>217</v>
      </c>
      <c r="E136" s="129" t="s">
        <v>213</v>
      </c>
      <c r="F136" s="130" t="s">
        <v>214</v>
      </c>
      <c r="G136" s="130" t="s">
        <v>215</v>
      </c>
      <c r="H136" s="21"/>
      <c r="I136" s="22"/>
      <c r="J136" s="21"/>
      <c r="K136" s="21"/>
      <c r="L136" s="125"/>
    </row>
    <row r="137" spans="1:25" s="18" customFormat="1" ht="58" x14ac:dyDescent="0.35">
      <c r="B137" s="97">
        <v>3</v>
      </c>
      <c r="C137" s="127" t="s">
        <v>218</v>
      </c>
      <c r="D137" s="128" t="s">
        <v>219</v>
      </c>
      <c r="E137" s="129" t="s">
        <v>213</v>
      </c>
      <c r="F137" s="130" t="s">
        <v>214</v>
      </c>
      <c r="G137" s="130" t="s">
        <v>215</v>
      </c>
      <c r="H137" s="21"/>
      <c r="I137" s="22"/>
      <c r="J137" s="21"/>
      <c r="K137" s="21"/>
      <c r="L137" s="125"/>
    </row>
    <row r="138" spans="1:25" s="18" customFormat="1" ht="58" x14ac:dyDescent="0.35">
      <c r="B138" s="97">
        <v>4</v>
      </c>
      <c r="C138" s="127" t="s">
        <v>220</v>
      </c>
      <c r="D138" s="128" t="s">
        <v>219</v>
      </c>
      <c r="E138" s="129" t="s">
        <v>213</v>
      </c>
      <c r="F138" s="130" t="s">
        <v>214</v>
      </c>
      <c r="G138" s="130" t="s">
        <v>215</v>
      </c>
      <c r="H138" s="21"/>
      <c r="I138" s="22"/>
      <c r="J138" s="21"/>
      <c r="K138" s="21"/>
      <c r="L138" s="125"/>
    </row>
    <row r="139" spans="1:25" s="18" customFormat="1" ht="43.5" x14ac:dyDescent="0.35">
      <c r="B139" s="97">
        <v>5</v>
      </c>
      <c r="C139" s="127" t="s">
        <v>221</v>
      </c>
      <c r="D139" s="128" t="s">
        <v>222</v>
      </c>
      <c r="E139" s="129" t="s">
        <v>213</v>
      </c>
      <c r="F139" s="130" t="s">
        <v>214</v>
      </c>
      <c r="G139" s="130" t="s">
        <v>215</v>
      </c>
      <c r="H139" s="21"/>
      <c r="I139" s="22"/>
      <c r="J139" s="21"/>
      <c r="K139" s="21"/>
      <c r="L139" s="125"/>
    </row>
    <row r="140" spans="1:25" s="18" customFormat="1" ht="43.5" x14ac:dyDescent="0.35">
      <c r="B140" s="97">
        <v>6</v>
      </c>
      <c r="C140" s="127" t="s">
        <v>111</v>
      </c>
      <c r="D140" s="128" t="s">
        <v>223</v>
      </c>
      <c r="E140" s="129" t="s">
        <v>213</v>
      </c>
      <c r="F140" s="130" t="s">
        <v>214</v>
      </c>
      <c r="G140" s="130" t="s">
        <v>215</v>
      </c>
      <c r="H140" s="21"/>
      <c r="I140" s="22"/>
      <c r="J140" s="21"/>
      <c r="K140" s="21"/>
      <c r="L140" s="125"/>
    </row>
    <row r="141" spans="1:25" s="18" customFormat="1" ht="43.5" x14ac:dyDescent="0.35">
      <c r="B141" s="97">
        <v>7</v>
      </c>
      <c r="C141" s="127" t="s">
        <v>112</v>
      </c>
      <c r="D141" s="128" t="s">
        <v>224</v>
      </c>
      <c r="E141" s="129" t="s">
        <v>213</v>
      </c>
      <c r="F141" s="130" t="s">
        <v>214</v>
      </c>
      <c r="G141" s="130" t="s">
        <v>215</v>
      </c>
      <c r="H141" s="21"/>
      <c r="I141" s="22"/>
      <c r="J141" s="21"/>
      <c r="K141" s="21"/>
      <c r="L141" s="125"/>
    </row>
    <row r="142" spans="1:25" s="18" customFormat="1" x14ac:dyDescent="0.35">
      <c r="C142" s="131"/>
      <c r="E142" s="132" t="s">
        <v>225</v>
      </c>
      <c r="F142" s="133">
        <f>SUM(F135:F141)</f>
        <v>0</v>
      </c>
      <c r="G142" s="133">
        <f>SUM(G135:G141)</f>
        <v>0</v>
      </c>
      <c r="H142" s="21"/>
      <c r="I142" s="22"/>
      <c r="J142" s="21"/>
      <c r="K142" s="21"/>
      <c r="L142" s="125"/>
    </row>
    <row r="143" spans="1:25" s="18" customFormat="1" x14ac:dyDescent="0.35">
      <c r="C143" s="131"/>
      <c r="E143" s="132"/>
      <c r="F143" s="133"/>
      <c r="G143" s="133"/>
      <c r="H143" s="21"/>
      <c r="I143" s="22"/>
      <c r="J143" s="21"/>
      <c r="K143" s="21"/>
      <c r="L143" s="125"/>
    </row>
    <row r="144" spans="1:25" s="18" customFormat="1" x14ac:dyDescent="0.35">
      <c r="A144" s="115" t="s">
        <v>98</v>
      </c>
      <c r="L144" s="114"/>
    </row>
    <row r="145" spans="1:12" s="18" customFormat="1" ht="26" x14ac:dyDescent="0.35">
      <c r="A145" s="25" t="s">
        <v>86</v>
      </c>
      <c r="B145" s="25" t="s">
        <v>206</v>
      </c>
      <c r="C145" s="25" t="s">
        <v>207</v>
      </c>
      <c r="D145" s="126" t="s">
        <v>208</v>
      </c>
      <c r="E145" s="7" t="s">
        <v>226</v>
      </c>
      <c r="L145" s="114"/>
    </row>
    <row r="146" spans="1:12" s="18" customFormat="1" ht="43.5" x14ac:dyDescent="0.35">
      <c r="A146" s="97">
        <v>1</v>
      </c>
      <c r="B146" s="129" t="s">
        <v>227</v>
      </c>
      <c r="C146" s="129" t="s">
        <v>228</v>
      </c>
      <c r="D146" s="129" t="s">
        <v>213</v>
      </c>
      <c r="E146" s="130" t="s">
        <v>229</v>
      </c>
      <c r="H146" s="47"/>
      <c r="I146" s="22"/>
      <c r="J146" s="21"/>
      <c r="K146" s="21"/>
      <c r="L146" s="125"/>
    </row>
    <row r="147" spans="1:12" s="18" customFormat="1" x14ac:dyDescent="0.35">
      <c r="A147" s="47"/>
      <c r="B147" s="47"/>
      <c r="C147" s="131"/>
      <c r="H147" s="47"/>
      <c r="I147" s="22"/>
      <c r="J147" s="21"/>
      <c r="K147" s="21"/>
      <c r="L147" s="125"/>
    </row>
    <row r="148" spans="1:12" s="18" customFormat="1" x14ac:dyDescent="0.35">
      <c r="A148" s="115" t="s">
        <v>125</v>
      </c>
      <c r="F148" s="113"/>
      <c r="G148" s="22"/>
      <c r="H148" s="21"/>
      <c r="I148" s="22"/>
      <c r="J148" s="21"/>
      <c r="K148" s="21"/>
      <c r="L148" s="125"/>
    </row>
    <row r="149" spans="1:12" s="18" customFormat="1" ht="26" x14ac:dyDescent="0.35">
      <c r="A149" s="25" t="s">
        <v>86</v>
      </c>
      <c r="B149" s="25" t="s">
        <v>206</v>
      </c>
      <c r="C149" s="25" t="s">
        <v>207</v>
      </c>
      <c r="D149" s="126" t="s">
        <v>208</v>
      </c>
      <c r="E149" s="7" t="s">
        <v>226</v>
      </c>
      <c r="F149" s="113"/>
      <c r="G149" s="22"/>
      <c r="H149" s="21"/>
      <c r="I149" s="22"/>
      <c r="J149" s="21"/>
      <c r="K149" s="21"/>
      <c r="L149" s="125"/>
    </row>
    <row r="150" spans="1:12" s="18" customFormat="1" ht="43.5" x14ac:dyDescent="0.35">
      <c r="A150" s="97">
        <v>1</v>
      </c>
      <c r="B150" s="129" t="s">
        <v>227</v>
      </c>
      <c r="C150" s="129" t="s">
        <v>228</v>
      </c>
      <c r="D150" s="129" t="s">
        <v>213</v>
      </c>
      <c r="E150" s="130" t="s">
        <v>229</v>
      </c>
      <c r="F150" s="113"/>
      <c r="G150" s="22"/>
      <c r="H150" s="21"/>
      <c r="I150" s="22"/>
      <c r="J150" s="21"/>
      <c r="K150" s="21"/>
      <c r="L150" s="125"/>
    </row>
    <row r="151" spans="1:12" s="18" customFormat="1" x14ac:dyDescent="0.35">
      <c r="C151" s="131"/>
      <c r="F151" s="113"/>
      <c r="G151" s="22"/>
      <c r="H151" s="21"/>
      <c r="I151" s="22"/>
      <c r="J151" s="21"/>
      <c r="K151" s="21"/>
      <c r="L151" s="125"/>
    </row>
    <row r="152" spans="1:12" s="18" customFormat="1" x14ac:dyDescent="0.35">
      <c r="A152" s="134" t="s">
        <v>230</v>
      </c>
      <c r="C152" s="131"/>
      <c r="F152" s="113"/>
      <c r="G152" s="22"/>
      <c r="H152" s="21"/>
      <c r="I152" s="22"/>
      <c r="J152" s="21"/>
      <c r="K152" s="21"/>
      <c r="L152" s="125"/>
    </row>
    <row r="153" spans="1:12" s="18" customFormat="1" ht="26" x14ac:dyDescent="0.35">
      <c r="A153" s="25" t="s">
        <v>86</v>
      </c>
      <c r="B153" s="25" t="s">
        <v>206</v>
      </c>
      <c r="C153" s="25" t="s">
        <v>207</v>
      </c>
      <c r="D153" s="7" t="s">
        <v>208</v>
      </c>
      <c r="E153" s="7" t="s">
        <v>226</v>
      </c>
      <c r="F153" s="113"/>
      <c r="G153" s="22"/>
      <c r="H153" s="21"/>
      <c r="I153" s="22"/>
      <c r="J153" s="21"/>
      <c r="K153" s="21"/>
      <c r="L153" s="125"/>
    </row>
    <row r="154" spans="1:12" s="18" customFormat="1" ht="43.5" x14ac:dyDescent="0.35">
      <c r="A154" s="97">
        <v>1</v>
      </c>
      <c r="B154" s="135" t="s">
        <v>230</v>
      </c>
      <c r="C154" s="129" t="s">
        <v>231</v>
      </c>
      <c r="D154" s="129" t="s">
        <v>213</v>
      </c>
      <c r="E154" s="130" t="s">
        <v>229</v>
      </c>
      <c r="F154" s="113"/>
      <c r="G154" s="22"/>
      <c r="H154" s="21"/>
      <c r="I154" s="22"/>
      <c r="J154" s="21"/>
      <c r="K154" s="21"/>
      <c r="L154" s="125"/>
    </row>
    <row r="156" spans="1:12" x14ac:dyDescent="0.35">
      <c r="A156" s="136" t="s">
        <v>232</v>
      </c>
      <c r="B156" s="136"/>
      <c r="C156" s="136"/>
      <c r="D156" s="136"/>
      <c r="E156" s="136"/>
      <c r="F156" s="136"/>
      <c r="G156" s="136"/>
      <c r="H156" s="136"/>
      <c r="I156" s="136"/>
      <c r="J156" s="136"/>
      <c r="L156" s="92"/>
    </row>
    <row r="157" spans="1:12" x14ac:dyDescent="0.35">
      <c r="L157" s="92"/>
    </row>
    <row r="158" spans="1:12" s="141" customFormat="1" x14ac:dyDescent="0.35">
      <c r="A158" s="137" t="s">
        <v>86</v>
      </c>
      <c r="B158" s="137" t="s">
        <v>233</v>
      </c>
      <c r="C158" s="137" t="s">
        <v>234</v>
      </c>
      <c r="D158" s="137" t="s">
        <v>235</v>
      </c>
      <c r="E158" s="138" t="s">
        <v>232</v>
      </c>
      <c r="F158" s="139"/>
      <c r="G158" s="139"/>
      <c r="H158" s="139"/>
      <c r="I158" s="139"/>
      <c r="J158" s="140"/>
      <c r="L158" s="142"/>
    </row>
    <row r="159" spans="1:12" s="141" customFormat="1" x14ac:dyDescent="0.35">
      <c r="A159" s="137"/>
      <c r="B159" s="137"/>
      <c r="C159" s="137"/>
      <c r="D159" s="137"/>
      <c r="E159" s="143" t="s">
        <v>236</v>
      </c>
      <c r="F159" s="143" t="s">
        <v>237</v>
      </c>
      <c r="G159" s="143" t="s">
        <v>238</v>
      </c>
      <c r="H159" s="143" t="s">
        <v>239</v>
      </c>
      <c r="I159" s="143" t="s">
        <v>240</v>
      </c>
      <c r="J159" s="140"/>
      <c r="L159" s="142"/>
    </row>
    <row r="160" spans="1:12" s="141" customFormat="1" x14ac:dyDescent="0.35">
      <c r="A160" s="143"/>
      <c r="B160" s="144"/>
      <c r="C160" s="144"/>
      <c r="D160" s="144"/>
      <c r="E160" s="145" t="s">
        <v>241</v>
      </c>
      <c r="F160" s="146"/>
      <c r="G160" s="147"/>
      <c r="H160" s="140"/>
      <c r="I160" s="140"/>
      <c r="J160" s="140"/>
      <c r="L160" s="142"/>
    </row>
    <row r="161" spans="1:12" s="141" customFormat="1" ht="43.5" x14ac:dyDescent="0.35">
      <c r="A161" s="148">
        <v>1</v>
      </c>
      <c r="B161" s="149" t="s">
        <v>242</v>
      </c>
      <c r="C161" s="149"/>
      <c r="D161" s="144" t="s">
        <v>243</v>
      </c>
      <c r="E161" s="150">
        <v>1169143</v>
      </c>
      <c r="F161" s="151" t="s">
        <v>244</v>
      </c>
      <c r="G161" s="151" t="s">
        <v>245</v>
      </c>
      <c r="H161" s="152" t="s">
        <v>246</v>
      </c>
      <c r="I161" s="153"/>
      <c r="J161" s="154" t="s">
        <v>247</v>
      </c>
      <c r="L161" s="142"/>
    </row>
    <row r="162" spans="1:12" s="141" customFormat="1" ht="43.5" x14ac:dyDescent="0.35">
      <c r="A162" s="148"/>
      <c r="B162" s="149"/>
      <c r="C162" s="149"/>
      <c r="D162" s="144"/>
      <c r="E162" s="155">
        <v>1169174</v>
      </c>
      <c r="F162" s="151" t="s">
        <v>248</v>
      </c>
      <c r="G162" s="151" t="s">
        <v>249</v>
      </c>
      <c r="H162" s="152" t="s">
        <v>250</v>
      </c>
      <c r="I162" s="153"/>
      <c r="J162" s="154"/>
      <c r="L162" s="142"/>
    </row>
    <row r="163" spans="1:12" s="141" customFormat="1" ht="43.5" x14ac:dyDescent="0.35">
      <c r="A163" s="148"/>
      <c r="B163" s="149"/>
      <c r="C163" s="149"/>
      <c r="D163" s="144"/>
      <c r="E163" s="150">
        <v>1169263</v>
      </c>
      <c r="F163" s="151" t="s">
        <v>251</v>
      </c>
      <c r="G163" s="151" t="s">
        <v>252</v>
      </c>
      <c r="H163" s="152" t="s">
        <v>253</v>
      </c>
      <c r="I163" s="153"/>
      <c r="J163" s="154"/>
      <c r="L163" s="142"/>
    </row>
    <row r="164" spans="1:12" s="141" customFormat="1" ht="58" x14ac:dyDescent="0.35">
      <c r="A164" s="148"/>
      <c r="B164" s="149"/>
      <c r="C164" s="149"/>
      <c r="D164" s="144"/>
      <c r="E164" s="150">
        <v>1169202</v>
      </c>
      <c r="F164" s="151" t="s">
        <v>254</v>
      </c>
      <c r="G164" s="151" t="s">
        <v>255</v>
      </c>
      <c r="H164" s="152" t="s">
        <v>256</v>
      </c>
      <c r="I164" s="153"/>
      <c r="J164" s="154"/>
      <c r="L164" s="142"/>
    </row>
    <row r="165" spans="1:12" s="141" customFormat="1" ht="68.5" customHeight="1" x14ac:dyDescent="0.35">
      <c r="A165" s="148"/>
      <c r="B165" s="149"/>
      <c r="C165" s="149"/>
      <c r="D165" s="144"/>
      <c r="E165" s="150">
        <v>1169233</v>
      </c>
      <c r="F165" s="151" t="s">
        <v>257</v>
      </c>
      <c r="G165" s="151" t="s">
        <v>258</v>
      </c>
      <c r="H165" s="152" t="s">
        <v>259</v>
      </c>
      <c r="I165" s="153"/>
      <c r="J165" s="154"/>
      <c r="L165" s="142"/>
    </row>
    <row r="166" spans="1:12" s="141" customFormat="1" ht="64" customHeight="1" x14ac:dyDescent="0.35">
      <c r="A166" s="148"/>
      <c r="B166" s="149"/>
      <c r="C166" s="149"/>
      <c r="D166" s="144"/>
      <c r="E166" s="150">
        <v>1169294</v>
      </c>
      <c r="F166" s="151" t="s">
        <v>260</v>
      </c>
      <c r="G166" s="151" t="s">
        <v>261</v>
      </c>
      <c r="H166" s="152" t="s">
        <v>262</v>
      </c>
      <c r="I166" s="153"/>
      <c r="J166" s="154"/>
      <c r="L166" s="142"/>
    </row>
    <row r="167" spans="1:12" s="141" customFormat="1" ht="58" x14ac:dyDescent="0.35">
      <c r="A167" s="148"/>
      <c r="B167" s="149"/>
      <c r="C167" s="149"/>
      <c r="D167" s="144"/>
      <c r="E167" s="150">
        <v>1169324</v>
      </c>
      <c r="F167" s="151" t="s">
        <v>263</v>
      </c>
      <c r="G167" s="151" t="s">
        <v>264</v>
      </c>
      <c r="H167" s="152" t="s">
        <v>265</v>
      </c>
      <c r="I167" s="153"/>
      <c r="J167" s="154"/>
      <c r="L167" s="142"/>
    </row>
    <row r="168" spans="1:12" s="141" customFormat="1" ht="72.5" x14ac:dyDescent="0.35">
      <c r="A168" s="148"/>
      <c r="B168" s="149"/>
      <c r="C168" s="149"/>
      <c r="D168" s="144"/>
      <c r="E168" s="150"/>
      <c r="F168" s="156" t="s">
        <v>266</v>
      </c>
      <c r="G168" s="157"/>
      <c r="H168" s="158"/>
      <c r="I168" s="152" t="s">
        <v>267</v>
      </c>
      <c r="J168" s="154"/>
      <c r="L168" s="142"/>
    </row>
    <row r="169" spans="1:12" s="141" customFormat="1" ht="14.5" customHeight="1" x14ac:dyDescent="0.35">
      <c r="A169" s="148"/>
      <c r="B169" s="149"/>
      <c r="C169" s="149"/>
      <c r="D169" s="144"/>
      <c r="E169" s="145" t="s">
        <v>268</v>
      </c>
      <c r="F169" s="146"/>
      <c r="G169" s="147"/>
      <c r="H169" s="159"/>
      <c r="I169" s="160"/>
      <c r="J169" s="140"/>
      <c r="L169" s="142"/>
    </row>
    <row r="170" spans="1:12" s="141" customFormat="1" ht="58" x14ac:dyDescent="0.35">
      <c r="A170" s="148"/>
      <c r="B170" s="149"/>
      <c r="C170" s="149"/>
      <c r="D170" s="144"/>
      <c r="E170" s="150" t="s">
        <v>269</v>
      </c>
      <c r="F170" s="151" t="s">
        <v>270</v>
      </c>
      <c r="G170" s="151" t="s">
        <v>271</v>
      </c>
      <c r="H170" s="161" t="s">
        <v>272</v>
      </c>
      <c r="I170" s="153"/>
      <c r="J170" s="154" t="s">
        <v>273</v>
      </c>
      <c r="L170" s="142"/>
    </row>
    <row r="171" spans="1:12" s="141" customFormat="1" ht="43.5" x14ac:dyDescent="0.35">
      <c r="A171" s="148"/>
      <c r="B171" s="149"/>
      <c r="C171" s="149"/>
      <c r="D171" s="144"/>
      <c r="E171" s="150" t="s">
        <v>274</v>
      </c>
      <c r="F171" s="151" t="s">
        <v>275</v>
      </c>
      <c r="G171" s="151" t="s">
        <v>276</v>
      </c>
      <c r="H171" s="161" t="s">
        <v>277</v>
      </c>
      <c r="I171" s="153"/>
      <c r="J171" s="154"/>
      <c r="L171" s="142"/>
    </row>
    <row r="172" spans="1:12" s="141" customFormat="1" ht="72.5" x14ac:dyDescent="0.35">
      <c r="A172" s="148"/>
      <c r="B172" s="149"/>
      <c r="C172" s="149"/>
      <c r="D172" s="144"/>
      <c r="E172" s="162" t="s">
        <v>274</v>
      </c>
      <c r="F172" s="163" t="s">
        <v>275</v>
      </c>
      <c r="G172" s="163" t="s">
        <v>278</v>
      </c>
      <c r="H172" s="161"/>
      <c r="I172" s="144" t="s">
        <v>279</v>
      </c>
      <c r="J172" s="154"/>
      <c r="L172" s="142"/>
    </row>
    <row r="173" spans="1:12" s="141" customFormat="1" ht="43.5" x14ac:dyDescent="0.35">
      <c r="A173" s="148"/>
      <c r="B173" s="149"/>
      <c r="C173" s="149"/>
      <c r="D173" s="144"/>
      <c r="E173" s="156" t="s">
        <v>280</v>
      </c>
      <c r="F173" s="156" t="s">
        <v>281</v>
      </c>
      <c r="G173" s="156" t="s">
        <v>282</v>
      </c>
      <c r="H173" s="153"/>
      <c r="I173" s="144" t="s">
        <v>283</v>
      </c>
      <c r="J173" s="154"/>
      <c r="L173" s="142"/>
    </row>
    <row r="174" spans="1:12" s="141" customFormat="1" x14ac:dyDescent="0.35">
      <c r="A174" s="148"/>
      <c r="B174" s="149"/>
      <c r="C174" s="149"/>
      <c r="D174" s="144"/>
      <c r="E174" s="145" t="s">
        <v>284</v>
      </c>
      <c r="F174" s="146"/>
      <c r="G174" s="147"/>
      <c r="H174" s="159"/>
      <c r="I174" s="160"/>
      <c r="J174" s="140"/>
      <c r="L174" s="142"/>
    </row>
    <row r="175" spans="1:12" s="141" customFormat="1" ht="58" x14ac:dyDescent="0.35">
      <c r="A175" s="148"/>
      <c r="B175" s="149"/>
      <c r="C175" s="149"/>
      <c r="D175" s="144"/>
      <c r="E175" s="150">
        <v>1207129</v>
      </c>
      <c r="F175" s="151" t="s">
        <v>285</v>
      </c>
      <c r="G175" s="151" t="s">
        <v>286</v>
      </c>
      <c r="H175" s="161" t="s">
        <v>287</v>
      </c>
      <c r="I175" s="153"/>
      <c r="J175" s="154" t="s">
        <v>288</v>
      </c>
      <c r="L175" s="142"/>
    </row>
    <row r="176" spans="1:12" s="141" customFormat="1" ht="72.5" x14ac:dyDescent="0.35">
      <c r="A176" s="148"/>
      <c r="B176" s="149"/>
      <c r="C176" s="149"/>
      <c r="D176" s="144"/>
      <c r="E176" s="164"/>
      <c r="F176" s="144" t="s">
        <v>289</v>
      </c>
      <c r="G176" s="165"/>
      <c r="H176" s="161" t="s">
        <v>267</v>
      </c>
      <c r="I176" s="153"/>
      <c r="J176" s="154"/>
      <c r="L176" s="142"/>
    </row>
    <row r="177" spans="1:12" s="141" customFormat="1" x14ac:dyDescent="0.35">
      <c r="A177" s="148"/>
      <c r="B177" s="149"/>
      <c r="C177" s="149"/>
      <c r="D177" s="166"/>
      <c r="E177" s="145" t="s">
        <v>290</v>
      </c>
      <c r="F177" s="146"/>
      <c r="G177" s="147"/>
      <c r="H177" s="167"/>
      <c r="I177" s="168"/>
      <c r="J177" s="169"/>
      <c r="L177" s="142"/>
    </row>
    <row r="178" spans="1:12" s="141" customFormat="1" ht="28.5" customHeight="1" x14ac:dyDescent="0.35">
      <c r="A178" s="148"/>
      <c r="B178" s="149"/>
      <c r="C178" s="149"/>
      <c r="D178" s="144"/>
      <c r="E178" s="150">
        <v>1936155</v>
      </c>
      <c r="F178" s="151" t="s">
        <v>291</v>
      </c>
      <c r="G178" s="157" t="s">
        <v>292</v>
      </c>
      <c r="H178" s="161" t="s">
        <v>293</v>
      </c>
      <c r="I178" s="153"/>
      <c r="J178" s="170" t="s">
        <v>294</v>
      </c>
      <c r="L178" s="142"/>
    </row>
    <row r="179" spans="1:12" s="141" customFormat="1" x14ac:dyDescent="0.35">
      <c r="A179" s="148"/>
      <c r="B179" s="149"/>
      <c r="C179" s="149"/>
      <c r="D179" s="171"/>
      <c r="E179" s="145" t="s">
        <v>295</v>
      </c>
      <c r="F179" s="146"/>
      <c r="G179" s="147"/>
      <c r="H179" s="172"/>
      <c r="I179" s="173"/>
      <c r="J179" s="140"/>
      <c r="L179" s="142"/>
    </row>
    <row r="180" spans="1:12" s="141" customFormat="1" ht="43.5" x14ac:dyDescent="0.35">
      <c r="A180" s="148"/>
      <c r="B180" s="149"/>
      <c r="C180" s="149"/>
      <c r="D180" s="144"/>
      <c r="E180" s="174">
        <v>75607</v>
      </c>
      <c r="F180" s="156" t="s">
        <v>296</v>
      </c>
      <c r="G180" s="151"/>
      <c r="H180" s="153"/>
      <c r="I180" s="161" t="s">
        <v>250</v>
      </c>
      <c r="J180" s="6" t="s">
        <v>297</v>
      </c>
      <c r="L180" s="142"/>
    </row>
    <row r="181" spans="1:12" s="141" customFormat="1" ht="43.5" x14ac:dyDescent="0.35">
      <c r="A181" s="148"/>
      <c r="B181" s="149"/>
      <c r="C181" s="149"/>
      <c r="D181" s="144"/>
      <c r="E181" s="174">
        <v>75610</v>
      </c>
      <c r="F181" s="156" t="s">
        <v>298</v>
      </c>
      <c r="G181" s="151"/>
      <c r="H181" s="153"/>
      <c r="I181" s="161" t="s">
        <v>253</v>
      </c>
      <c r="J181" s="6"/>
      <c r="L181" s="142"/>
    </row>
    <row r="182" spans="1:12" s="141" customFormat="1" ht="58" x14ac:dyDescent="0.35">
      <c r="A182" s="148"/>
      <c r="B182" s="149"/>
      <c r="C182" s="149"/>
      <c r="D182" s="144"/>
      <c r="E182" s="174">
        <v>75608</v>
      </c>
      <c r="F182" s="156" t="s">
        <v>299</v>
      </c>
      <c r="G182" s="151"/>
      <c r="H182" s="153"/>
      <c r="I182" s="161" t="s">
        <v>256</v>
      </c>
      <c r="J182" s="6"/>
      <c r="L182" s="142"/>
    </row>
    <row r="183" spans="1:12" s="141" customFormat="1" ht="58" x14ac:dyDescent="0.35">
      <c r="A183" s="148"/>
      <c r="B183" s="149"/>
      <c r="C183" s="149"/>
      <c r="D183" s="144"/>
      <c r="E183" s="174">
        <v>75609</v>
      </c>
      <c r="F183" s="156" t="s">
        <v>300</v>
      </c>
      <c r="G183" s="151"/>
      <c r="H183" s="153"/>
      <c r="I183" s="161" t="s">
        <v>259</v>
      </c>
      <c r="J183" s="6"/>
      <c r="L183" s="142"/>
    </row>
    <row r="184" spans="1:12" s="141" customFormat="1" ht="58" x14ac:dyDescent="0.35">
      <c r="A184" s="148"/>
      <c r="B184" s="149"/>
      <c r="C184" s="149"/>
      <c r="D184" s="144"/>
      <c r="E184" s="174">
        <v>75611</v>
      </c>
      <c r="F184" s="156" t="s">
        <v>301</v>
      </c>
      <c r="G184" s="151"/>
      <c r="H184" s="153"/>
      <c r="I184" s="161" t="s">
        <v>262</v>
      </c>
      <c r="J184" s="6"/>
      <c r="L184" s="142"/>
    </row>
    <row r="185" spans="1:12" s="141" customFormat="1" ht="58" x14ac:dyDescent="0.35">
      <c r="A185" s="148"/>
      <c r="B185" s="149"/>
      <c r="C185" s="149"/>
      <c r="D185" s="144"/>
      <c r="E185" s="174">
        <v>75612</v>
      </c>
      <c r="F185" s="156" t="s">
        <v>302</v>
      </c>
      <c r="G185" s="151"/>
      <c r="H185" s="153"/>
      <c r="I185" s="161" t="s">
        <v>265</v>
      </c>
      <c r="J185" s="6"/>
      <c r="L185" s="142"/>
    </row>
    <row r="186" spans="1:12" s="141" customFormat="1" x14ac:dyDescent="0.35">
      <c r="A186" s="148"/>
      <c r="B186" s="149"/>
      <c r="C186" s="149"/>
      <c r="D186" s="144"/>
      <c r="E186" s="175"/>
      <c r="F186" s="176" t="s">
        <v>303</v>
      </c>
      <c r="G186" s="177"/>
      <c r="H186" s="178">
        <f>SUM(H161:H185)</f>
        <v>0</v>
      </c>
      <c r="I186" s="178">
        <f>SUM(I161:I185)</f>
        <v>0</v>
      </c>
      <c r="J186" s="179">
        <f>H186-I186</f>
        <v>0</v>
      </c>
      <c r="L186" s="142"/>
    </row>
    <row r="187" spans="1:12" s="141" customFormat="1" ht="43.5" x14ac:dyDescent="0.35">
      <c r="A187" s="148"/>
      <c r="B187" s="149"/>
      <c r="C187" s="149"/>
      <c r="D187" s="144"/>
      <c r="E187" s="150" t="s">
        <v>304</v>
      </c>
      <c r="F187" s="151" t="s">
        <v>305</v>
      </c>
      <c r="G187" s="151"/>
      <c r="H187" s="161" t="s">
        <v>306</v>
      </c>
      <c r="I187" s="153"/>
      <c r="J187" s="140"/>
      <c r="L187" s="142"/>
    </row>
    <row r="188" spans="1:12" s="141" customFormat="1" ht="58" x14ac:dyDescent="0.35">
      <c r="A188" s="148"/>
      <c r="B188" s="149"/>
      <c r="C188" s="149"/>
      <c r="D188" s="144"/>
      <c r="E188" s="174">
        <v>1169873</v>
      </c>
      <c r="F188" s="156" t="s">
        <v>307</v>
      </c>
      <c r="G188" s="151"/>
      <c r="H188" s="153"/>
      <c r="I188" s="161" t="s">
        <v>308</v>
      </c>
      <c r="J188" s="140"/>
      <c r="L188" s="142"/>
    </row>
    <row r="189" spans="1:12" s="141" customFormat="1" ht="24" customHeight="1" x14ac:dyDescent="0.35">
      <c r="A189" s="148"/>
      <c r="B189" s="149"/>
      <c r="C189" s="149"/>
      <c r="D189" s="144"/>
      <c r="E189" s="175"/>
      <c r="F189" s="175"/>
      <c r="G189" s="177"/>
      <c r="H189" s="178">
        <f>SUM(H187:H188)</f>
        <v>0</v>
      </c>
      <c r="I189" s="178">
        <f>SUM(I187:I188)</f>
        <v>0</v>
      </c>
      <c r="J189" s="140"/>
      <c r="L189" s="142"/>
    </row>
  </sheetData>
  <mergeCells count="38">
    <mergeCell ref="E179:G179"/>
    <mergeCell ref="J180:J185"/>
    <mergeCell ref="E160:G160"/>
    <mergeCell ref="A161:A189"/>
    <mergeCell ref="B161:B189"/>
    <mergeCell ref="C161:C189"/>
    <mergeCell ref="J161:J168"/>
    <mergeCell ref="E169:G169"/>
    <mergeCell ref="J170:J173"/>
    <mergeCell ref="E174:G174"/>
    <mergeCell ref="J175:J176"/>
    <mergeCell ref="E177:G177"/>
    <mergeCell ref="A156:J156"/>
    <mergeCell ref="A158:A159"/>
    <mergeCell ref="B158:B159"/>
    <mergeCell ref="C158:C159"/>
    <mergeCell ref="D158:D159"/>
    <mergeCell ref="E158:I158"/>
    <mergeCell ref="A112:L112"/>
    <mergeCell ref="G114:N114"/>
    <mergeCell ref="P114:W114"/>
    <mergeCell ref="G121:N121"/>
    <mergeCell ref="P121:W121"/>
    <mergeCell ref="G127:N127"/>
    <mergeCell ref="P127:W127"/>
    <mergeCell ref="A23:L23"/>
    <mergeCell ref="D32:F32"/>
    <mergeCell ref="H32:I32"/>
    <mergeCell ref="C92:E92"/>
    <mergeCell ref="D101:G101"/>
    <mergeCell ref="D102:G102"/>
    <mergeCell ref="A3:L3"/>
    <mergeCell ref="E6:F6"/>
    <mergeCell ref="G6:H6"/>
    <mergeCell ref="E12:F12"/>
    <mergeCell ref="G12:H12"/>
    <mergeCell ref="E18:F18"/>
    <mergeCell ref="G18:H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A64B-CE00-4721-8C4D-7956B57D5E6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Konsep yang akan dipakai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Dan</dc:creator>
  <cp:lastModifiedBy>Rama Dan</cp:lastModifiedBy>
  <dcterms:created xsi:type="dcterms:W3CDTF">2026-09-28T07:35:31Z</dcterms:created>
  <dcterms:modified xsi:type="dcterms:W3CDTF">2026-09-28T07:36:13Z</dcterms:modified>
</cp:coreProperties>
</file>