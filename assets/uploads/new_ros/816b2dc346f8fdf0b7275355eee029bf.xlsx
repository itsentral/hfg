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iman/iCloud Drive (Archive) - 2/Desktop/client folder/client folder/Client folder/client folder/HFG/PARTY 433 TON GL BORON DAN NON BORON YL/"/>
    </mc:Choice>
  </mc:AlternateContent>
  <xr:revisionPtr revIDLastSave="0" documentId="13_ncr:1_{CC38126B-7D94-C345-B8D5-69C9468EA823}" xr6:coauthVersionLast="47" xr6:coauthVersionMax="47" xr10:uidLastSave="{00000000-0000-0000-0000-000000000000}"/>
  <bookViews>
    <workbookView xWindow="0" yWindow="500" windowWidth="25600" windowHeight="15500" xr2:uid="{00000000-000D-0000-FFFF-FFFF00000000}"/>
  </bookViews>
  <sheets>
    <sheet name="PL" sheetId="2" r:id="rId1"/>
  </sheets>
  <definedNames>
    <definedName name="_xlnm.Print_Area" localSheetId="0">PL!$A$1:$H$124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1" i="2" l="1"/>
  <c r="E57" i="2"/>
  <c r="D57" i="2"/>
  <c r="D71" i="2"/>
  <c r="D119" i="2"/>
  <c r="E119" i="2"/>
  <c r="D109" i="2"/>
  <c r="E109" i="2"/>
  <c r="D95" i="2"/>
  <c r="E95" i="2"/>
  <c r="D85" i="2"/>
  <c r="E85" i="2"/>
  <c r="D45" i="2"/>
  <c r="E45" i="2"/>
  <c r="D38" i="2"/>
  <c r="E38" i="2"/>
  <c r="H118" i="2"/>
  <c r="H117" i="2"/>
  <c r="H116" i="2"/>
  <c r="H115" i="2"/>
  <c r="H114" i="2"/>
  <c r="H113" i="2"/>
  <c r="H112" i="2"/>
  <c r="H111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4" i="2"/>
  <c r="H93" i="2"/>
  <c r="H92" i="2"/>
  <c r="H91" i="2"/>
  <c r="H90" i="2"/>
  <c r="H89" i="2"/>
  <c r="H88" i="2"/>
  <c r="H87" i="2"/>
  <c r="H84" i="2"/>
  <c r="H83" i="2"/>
  <c r="H82" i="2"/>
  <c r="H81" i="2"/>
  <c r="H80" i="2"/>
  <c r="H79" i="2"/>
  <c r="H78" i="2"/>
  <c r="H77" i="2"/>
  <c r="H76" i="2"/>
  <c r="H75" i="2"/>
  <c r="H74" i="2"/>
  <c r="H73" i="2"/>
  <c r="H70" i="2"/>
  <c r="H69" i="2"/>
  <c r="H68" i="2"/>
  <c r="H67" i="2"/>
  <c r="H66" i="2"/>
  <c r="H65" i="2"/>
  <c r="H64" i="2"/>
  <c r="H63" i="2"/>
  <c r="H62" i="2"/>
  <c r="H61" i="2"/>
  <c r="H60" i="2"/>
  <c r="H59" i="2"/>
  <c r="H56" i="2"/>
  <c r="H55" i="2"/>
  <c r="H54" i="2"/>
  <c r="H53" i="2"/>
  <c r="H52" i="2"/>
  <c r="H51" i="2"/>
  <c r="H50" i="2"/>
  <c r="H49" i="2"/>
  <c r="H48" i="2"/>
  <c r="H47" i="2"/>
  <c r="H44" i="2"/>
  <c r="H43" i="2"/>
  <c r="H42" i="2"/>
  <c r="H41" i="2"/>
  <c r="H40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F118" i="2"/>
  <c r="F117" i="2"/>
  <c r="F116" i="2"/>
  <c r="F115" i="2"/>
  <c r="F114" i="2"/>
  <c r="F113" i="2"/>
  <c r="F112" i="2"/>
  <c r="F111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4" i="2"/>
  <c r="F93" i="2"/>
  <c r="F92" i="2"/>
  <c r="F91" i="2"/>
  <c r="F90" i="2"/>
  <c r="F89" i="2"/>
  <c r="F88" i="2"/>
  <c r="F87" i="2"/>
  <c r="F84" i="2"/>
  <c r="F83" i="2"/>
  <c r="F82" i="2"/>
  <c r="F81" i="2"/>
  <c r="F80" i="2"/>
  <c r="F79" i="2"/>
  <c r="F78" i="2"/>
  <c r="F77" i="2"/>
  <c r="F76" i="2"/>
  <c r="F75" i="2"/>
  <c r="F74" i="2"/>
  <c r="F73" i="2"/>
  <c r="F70" i="2"/>
  <c r="F69" i="2"/>
  <c r="F68" i="2"/>
  <c r="F67" i="2"/>
  <c r="F66" i="2"/>
  <c r="F65" i="2"/>
  <c r="F64" i="2"/>
  <c r="F63" i="2"/>
  <c r="F62" i="2"/>
  <c r="F61" i="2"/>
  <c r="F60" i="2"/>
  <c r="F59" i="2"/>
  <c r="F56" i="2"/>
  <c r="F55" i="2"/>
  <c r="F54" i="2"/>
  <c r="F53" i="2"/>
  <c r="F52" i="2"/>
  <c r="F51" i="2"/>
  <c r="F50" i="2"/>
  <c r="F49" i="2"/>
  <c r="F48" i="2"/>
  <c r="F47" i="2"/>
  <c r="F44" i="2"/>
  <c r="F43" i="2"/>
  <c r="F42" i="2"/>
  <c r="F41" i="2"/>
  <c r="F40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71" i="2" l="1"/>
  <c r="F85" i="2"/>
  <c r="F95" i="2"/>
  <c r="F109" i="2"/>
  <c r="F119" i="2"/>
  <c r="F57" i="2"/>
  <c r="F38" i="2"/>
  <c r="F45" i="2"/>
</calcChain>
</file>

<file path=xl/sharedStrings.xml><?xml version="1.0" encoding="utf-8"?>
<sst xmlns="http://schemas.openxmlformats.org/spreadsheetml/2006/main" count="341" uniqueCount="126">
  <si>
    <t>COIL NO.</t>
  </si>
  <si>
    <t>COIL
NUMBER</t>
  </si>
  <si>
    <t>N.W.
(KGS)</t>
  </si>
  <si>
    <t>G.W.
(KGS)</t>
  </si>
  <si>
    <t>LENGTH
(M)</t>
  </si>
  <si>
    <t>YL250921Y06-A</t>
  </si>
  <si>
    <t>BMT 0.20MM*1219MM</t>
  </si>
  <si>
    <t>YL250921Y06-B</t>
  </si>
  <si>
    <t>YL250921Y06-C</t>
  </si>
  <si>
    <t>YL250921Y06-D</t>
  </si>
  <si>
    <t>YL250921Y07-A</t>
  </si>
  <si>
    <t>YL250921Y07-B</t>
  </si>
  <si>
    <t>YL250921Y07-C</t>
  </si>
  <si>
    <t>YL250921Y07-D</t>
  </si>
  <si>
    <t>YL250921Y08-A</t>
  </si>
  <si>
    <t>YL250921Y08-B</t>
  </si>
  <si>
    <t>YL250921Y08-C</t>
  </si>
  <si>
    <t>YL250921Y08-D</t>
  </si>
  <si>
    <t>YL250921Y09-A</t>
  </si>
  <si>
    <t>YL250921Y09-B</t>
  </si>
  <si>
    <t>YL250921Y09-C</t>
  </si>
  <si>
    <t>YL250921Y09-D</t>
  </si>
  <si>
    <t>YL250921Y10-A</t>
  </si>
  <si>
    <t>YL250921Y10-B</t>
  </si>
  <si>
    <t>YL250921Y10-C</t>
  </si>
  <si>
    <t>YL250921Y10-D</t>
  </si>
  <si>
    <t>YL250921J01-A</t>
  </si>
  <si>
    <t>YL250921J01-B</t>
  </si>
  <si>
    <t>YL250921J01-C</t>
  </si>
  <si>
    <t>YL250921J01-D</t>
  </si>
  <si>
    <t>YLC25092325a</t>
  </si>
  <si>
    <t>BMT 0.20MM*914MM</t>
  </si>
  <si>
    <t>YLC25092326b</t>
  </si>
  <si>
    <t>YLC25092327c</t>
  </si>
  <si>
    <t>YLC25092328d</t>
  </si>
  <si>
    <t>YLC25092329a</t>
  </si>
  <si>
    <t>YLC25092330b</t>
  </si>
  <si>
    <t>YLC25092331c</t>
  </si>
  <si>
    <t>YLC25092332d</t>
  </si>
  <si>
    <t>YLC25092333a</t>
  </si>
  <si>
    <t>YLC25092334b</t>
  </si>
  <si>
    <t>YLC25092335c</t>
  </si>
  <si>
    <t>YLC25092336d</t>
  </si>
  <si>
    <t>YL250921J02-A</t>
  </si>
  <si>
    <t>BMT 0.25MM*1219MM</t>
  </si>
  <si>
    <t>YL250921J02-B</t>
  </si>
  <si>
    <t>YL250921J02-C</t>
  </si>
  <si>
    <t>YL250921Y05-A</t>
  </si>
  <si>
    <t>YL250921Y05-B</t>
  </si>
  <si>
    <t>YL250921Y04-A</t>
  </si>
  <si>
    <t>BMT 0.21MM*1219MM</t>
  </si>
  <si>
    <t>YL250921Y04-B</t>
  </si>
  <si>
    <t>YL250921Y04-C</t>
  </si>
  <si>
    <t>YL250921Y04-D</t>
  </si>
  <si>
    <t>YL250921Y04-E</t>
  </si>
  <si>
    <t>YL250921J03-A</t>
  </si>
  <si>
    <t>YL250921J03-B</t>
  </si>
  <si>
    <t>YL250921J03-C</t>
  </si>
  <si>
    <t>YL250921J03-D</t>
  </si>
  <si>
    <t>YL250921J03-E</t>
  </si>
  <si>
    <t>YLC25092264a</t>
  </si>
  <si>
    <t>YLC25092265b</t>
  </si>
  <si>
    <t>YLC25092266c</t>
  </si>
  <si>
    <t>YLC25092267d</t>
  </si>
  <si>
    <t>YLC25092268a</t>
  </si>
  <si>
    <t>YLC25092269b</t>
  </si>
  <si>
    <t>YLC25092270c</t>
  </si>
  <si>
    <t>YLC25092271d</t>
  </si>
  <si>
    <t>YLC25092272a</t>
  </si>
  <si>
    <t>YLC25092273b</t>
  </si>
  <si>
    <t>YLC25092274c</t>
  </si>
  <si>
    <t>YLC25092275d</t>
  </si>
  <si>
    <t>YLC25092276a</t>
  </si>
  <si>
    <t>BMT 0.23MM*1219MM</t>
  </si>
  <si>
    <t>YLC25092277b</t>
  </si>
  <si>
    <t>YLC25092278c</t>
  </si>
  <si>
    <t>YLC25092279d</t>
  </si>
  <si>
    <t>YLC25092282a</t>
  </si>
  <si>
    <t>YLC25092283b</t>
  </si>
  <si>
    <t>YLC25092284c</t>
  </si>
  <si>
    <t>YLC25092285d</t>
  </si>
  <si>
    <t>YLC25092286a</t>
  </si>
  <si>
    <t>YLC25092287b</t>
  </si>
  <si>
    <t>YLC25092288c</t>
  </si>
  <si>
    <t>YLC25092289d</t>
  </si>
  <si>
    <t>YLA250918-3A</t>
  </si>
  <si>
    <t>BMT 0.26MM*1219MM</t>
  </si>
  <si>
    <t>YLA250918-3B</t>
  </si>
  <si>
    <t>YLA250918-3C</t>
  </si>
  <si>
    <t>YLA250918-3D</t>
  </si>
  <si>
    <t>YLA250918-4A</t>
  </si>
  <si>
    <t>YLA250918-4B</t>
  </si>
  <si>
    <t>YLA250918-4C</t>
  </si>
  <si>
    <t>YLA250918-4D</t>
  </si>
  <si>
    <t>YLC25092337a</t>
  </si>
  <si>
    <t>YLC25092338b</t>
  </si>
  <si>
    <t>YLC25092339c</t>
  </si>
  <si>
    <t>YLC25092340d</t>
  </si>
  <si>
    <t>YLC25092341a</t>
  </si>
  <si>
    <t>YLC25092342b</t>
  </si>
  <si>
    <t>YLC25092343c</t>
  </si>
  <si>
    <t>YLC25092344d</t>
  </si>
  <si>
    <t>YLC25092345a</t>
  </si>
  <si>
    <t>YLC25092346b</t>
  </si>
  <si>
    <t>YLC25092347c</t>
  </si>
  <si>
    <t>YLC25092348d</t>
  </si>
  <si>
    <t>YLC25092321a</t>
  </si>
  <si>
    <t>BMT 0.23MM*914MM</t>
  </si>
  <si>
    <t>YLC25092322b</t>
  </si>
  <si>
    <t>YLC25092323c</t>
  </si>
  <si>
    <t>YLC25092324d</t>
  </si>
  <si>
    <t>YLC25092349a</t>
  </si>
  <si>
    <t>YLC25092350b</t>
  </si>
  <si>
    <t>YLC25092351c</t>
  </si>
  <si>
    <t>YLC25092352d</t>
  </si>
  <si>
    <t>BPM</t>
  </si>
  <si>
    <t>BMT 0.14MM*1219MM</t>
  </si>
  <si>
    <t>BMT 0.14MM*914MM</t>
  </si>
  <si>
    <t>BMT 0.18MM*1219MM</t>
  </si>
  <si>
    <t>BMT 0.231MM*1219MM</t>
  </si>
  <si>
    <t>BMT 0.261MM*1219MM</t>
  </si>
  <si>
    <t>BMT 0.165MM*914MM</t>
  </si>
  <si>
    <t>ACTUAL SIZE</t>
  </si>
  <si>
    <t>TOTAL</t>
  </si>
  <si>
    <t>Total</t>
  </si>
  <si>
    <t>NAMA Sesuai 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</si>
</sst>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_ "/>
    <numFmt numFmtId="165" formatCode="0.000_ "/>
    <numFmt numFmtId="167" formatCode="&quot;YL&quot;#"/>
  </numFmts>
  <fonts count="11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b/>
      <sz val="12"/>
      <color indexed="8"/>
      <name val="Arial"/>
      <family val="2"/>
    </font>
    <font>
      <b/>
      <sz val="12"/>
      <color theme="1"/>
      <name val="Arial"/>
      <family val="2"/>
    </font>
    <font>
      <sz val="11"/>
      <color indexed="8"/>
      <name val="Arial"/>
      <family val="2"/>
    </font>
    <font>
      <b/>
      <sz val="11"/>
      <color theme="1"/>
      <name val="Arial"/>
      <family val="2"/>
    </font>
    <font>
      <sz val="12"/>
      <name val="宋体"/>
      <charset val="134"/>
    </font>
    <font>
      <sz val="11"/>
      <color indexed="8"/>
      <name val="宋体"/>
      <charset val="134"/>
    </font>
    <font>
      <b/>
      <sz val="16"/>
      <color theme="1"/>
      <name val="Arial"/>
      <family val="2"/>
    </font>
    <font>
      <b/>
      <sz val="18"/>
      <color theme="1"/>
      <name val="Arial"/>
      <family val="2"/>
    </font>
    <font>
      <b/>
      <sz val="11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>
      <alignment horizontal="center"/>
    </xf>
    <xf numFmtId="0" fontId="0" fillId="0" borderId="0" xfId="0" applyAlignment="1"/>
    <xf numFmtId="164" fontId="0" fillId="0" borderId="0" xfId="0" applyNumberFormat="1" applyAlignment="1"/>
    <xf numFmtId="165" fontId="0" fillId="0" borderId="0" xfId="0" applyNumberFormat="1" applyAlignment="1"/>
    <xf numFmtId="0" fontId="2" fillId="0" borderId="1" xfId="0" applyFont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167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0" xfId="0" applyFont="1" applyAlignment="1"/>
    <xf numFmtId="164" fontId="7" fillId="0" borderId="0" xfId="0" applyNumberFormat="1" applyFont="1">
      <alignment vertical="center"/>
    </xf>
    <xf numFmtId="165" fontId="7" fillId="0" borderId="0" xfId="0" applyNumberFormat="1" applyFont="1">
      <alignment vertical="center"/>
    </xf>
    <xf numFmtId="0" fontId="3" fillId="0" borderId="0" xfId="0" applyFont="1">
      <alignment vertical="center"/>
    </xf>
    <xf numFmtId="0" fontId="8" fillId="0" borderId="0" xfId="0" applyFont="1">
      <alignment vertical="center"/>
    </xf>
    <xf numFmtId="3" fontId="1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167" fontId="5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/>
    </xf>
    <xf numFmtId="3" fontId="10" fillId="3" borderId="1" xfId="0" applyNumberFormat="1" applyFont="1" applyFill="1" applyBorder="1" applyAlignment="1">
      <alignment horizontal="center" vertical="center" wrapText="1"/>
    </xf>
    <xf numFmtId="2" fontId="5" fillId="3" borderId="1" xfId="0" applyNumberFormat="1" applyFont="1" applyFill="1" applyBorder="1" applyAlignment="1">
      <alignment horizontal="center" vertical="center"/>
    </xf>
    <xf numFmtId="167" fontId="1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3" fontId="1" fillId="4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167" fontId="1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3" fontId="1" fillId="5" borderId="1" xfId="0" applyNumberFormat="1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 wrapText="1"/>
    </xf>
    <xf numFmtId="2" fontId="1" fillId="5" borderId="1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167" fontId="1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3" fontId="1" fillId="6" borderId="1" xfId="0" applyNumberFormat="1" applyFont="1" applyFill="1" applyBorder="1" applyAlignment="1">
      <alignment horizontal="center" vertical="center"/>
    </xf>
    <xf numFmtId="3" fontId="4" fillId="6" borderId="1" xfId="0" applyNumberFormat="1" applyFont="1" applyFill="1" applyBorder="1" applyAlignment="1">
      <alignment horizontal="center" vertical="center" wrapText="1"/>
    </xf>
    <xf numFmtId="2" fontId="1" fillId="6" borderId="1" xfId="0" applyNumberFormat="1" applyFont="1" applyFill="1" applyBorder="1" applyAlignment="1">
      <alignment horizontal="center" vertical="center"/>
    </xf>
    <xf numFmtId="167" fontId="1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3" fontId="1" fillId="7" borderId="1" xfId="0" applyNumberFormat="1" applyFont="1" applyFill="1" applyBorder="1" applyAlignment="1">
      <alignment horizontal="center" vertical="center"/>
    </xf>
    <xf numFmtId="3" fontId="4" fillId="7" borderId="1" xfId="0" applyNumberFormat="1" applyFont="1" applyFill="1" applyBorder="1" applyAlignment="1">
      <alignment horizontal="center" vertical="center" wrapText="1"/>
    </xf>
    <xf numFmtId="2" fontId="1" fillId="7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124"/>
  <sheetViews>
    <sheetView tabSelected="1" view="pageBreakPreview" zoomScaleNormal="85" zoomScaleSheetLayoutView="100" workbookViewId="0">
      <selection activeCell="A5" sqref="A5"/>
    </sheetView>
  </sheetViews>
  <sheetFormatPr baseColWidth="10" defaultColWidth="9" defaultRowHeight="15"/>
  <cols>
    <col min="1" max="1" width="24.5" style="3" customWidth="1"/>
    <col min="2" max="2" width="27.5" style="3" hidden="1" customWidth="1"/>
    <col min="3" max="3" width="27.5" style="3" customWidth="1"/>
    <col min="4" max="4" width="14.1640625" style="4" customWidth="1"/>
    <col min="5" max="5" width="16.5" style="5" customWidth="1"/>
    <col min="6" max="6" width="16.5" style="4" customWidth="1"/>
    <col min="7" max="7" width="16.5" style="3" customWidth="1"/>
    <col min="8" max="8" width="12.5" style="3" customWidth="1"/>
    <col min="9" max="16384" width="9" style="3"/>
  </cols>
  <sheetData>
    <row r="1" spans="1:8" s="1" customFormat="1" ht="58" customHeight="1">
      <c r="A1" s="6" t="s">
        <v>0</v>
      </c>
      <c r="B1" s="6" t="s">
        <v>122</v>
      </c>
      <c r="C1" s="6" t="s">
        <v>125</v>
      </c>
      <c r="D1" s="7" t="s">
        <v>1</v>
      </c>
      <c r="E1" s="8" t="s">
        <v>2</v>
      </c>
      <c r="F1" s="7" t="s">
        <v>3</v>
      </c>
      <c r="G1" s="6" t="s">
        <v>4</v>
      </c>
      <c r="H1" s="6" t="s">
        <v>115</v>
      </c>
    </row>
    <row r="2" spans="1:8" s="30" customFormat="1" ht="22" customHeight="1">
      <c r="A2" s="25" t="s">
        <v>5</v>
      </c>
      <c r="B2" s="26" t="s">
        <v>116</v>
      </c>
      <c r="C2" s="26" t="s">
        <v>6</v>
      </c>
      <c r="D2" s="26">
        <v>1</v>
      </c>
      <c r="E2" s="27">
        <v>4130</v>
      </c>
      <c r="F2" s="28">
        <f>E2+10</f>
        <v>4140</v>
      </c>
      <c r="G2" s="27">
        <v>3117</v>
      </c>
      <c r="H2" s="29">
        <f>E2/G2</f>
        <v>1.3249919794674367</v>
      </c>
    </row>
    <row r="3" spans="1:8" s="30" customFormat="1" ht="22" customHeight="1">
      <c r="A3" s="25" t="s">
        <v>7</v>
      </c>
      <c r="B3" s="26" t="s">
        <v>116</v>
      </c>
      <c r="C3" s="26" t="s">
        <v>6</v>
      </c>
      <c r="D3" s="26">
        <v>1</v>
      </c>
      <c r="E3" s="27">
        <v>4090</v>
      </c>
      <c r="F3" s="28">
        <f t="shared" ref="F3:F74" si="0">E3+10</f>
        <v>4100</v>
      </c>
      <c r="G3" s="27">
        <v>3115</v>
      </c>
      <c r="H3" s="29">
        <f t="shared" ref="H3:H74" si="1">E3/G3</f>
        <v>1.3130016051364366</v>
      </c>
    </row>
    <row r="4" spans="1:8" s="30" customFormat="1" ht="22" customHeight="1">
      <c r="A4" s="25" t="s">
        <v>8</v>
      </c>
      <c r="B4" s="26" t="s">
        <v>116</v>
      </c>
      <c r="C4" s="26" t="s">
        <v>6</v>
      </c>
      <c r="D4" s="26">
        <v>1</v>
      </c>
      <c r="E4" s="27">
        <v>4220</v>
      </c>
      <c r="F4" s="28">
        <f t="shared" si="0"/>
        <v>4230</v>
      </c>
      <c r="G4" s="27">
        <v>3216</v>
      </c>
      <c r="H4" s="29">
        <f t="shared" si="1"/>
        <v>1.3121890547263682</v>
      </c>
    </row>
    <row r="5" spans="1:8" s="30" customFormat="1" ht="22" customHeight="1">
      <c r="A5" s="25" t="s">
        <v>9</v>
      </c>
      <c r="B5" s="26" t="s">
        <v>116</v>
      </c>
      <c r="C5" s="26" t="s">
        <v>6</v>
      </c>
      <c r="D5" s="26">
        <v>1</v>
      </c>
      <c r="E5" s="27">
        <v>4090</v>
      </c>
      <c r="F5" s="28">
        <f t="shared" si="0"/>
        <v>4100</v>
      </c>
      <c r="G5" s="27">
        <v>3108</v>
      </c>
      <c r="H5" s="29">
        <f t="shared" si="1"/>
        <v>1.315958815958816</v>
      </c>
    </row>
    <row r="6" spans="1:8" s="30" customFormat="1" ht="22" customHeight="1">
      <c r="A6" s="25" t="s">
        <v>10</v>
      </c>
      <c r="B6" s="26" t="s">
        <v>116</v>
      </c>
      <c r="C6" s="26" t="s">
        <v>6</v>
      </c>
      <c r="D6" s="26">
        <v>1</v>
      </c>
      <c r="E6" s="27">
        <v>4140</v>
      </c>
      <c r="F6" s="28">
        <f t="shared" si="0"/>
        <v>4150</v>
      </c>
      <c r="G6" s="27">
        <v>3129</v>
      </c>
      <c r="H6" s="29">
        <f t="shared" si="1"/>
        <v>1.3231064237775647</v>
      </c>
    </row>
    <row r="7" spans="1:8" s="30" customFormat="1" ht="22" customHeight="1">
      <c r="A7" s="25" t="s">
        <v>11</v>
      </c>
      <c r="B7" s="26" t="s">
        <v>116</v>
      </c>
      <c r="C7" s="26" t="s">
        <v>6</v>
      </c>
      <c r="D7" s="26">
        <v>1</v>
      </c>
      <c r="E7" s="27">
        <v>4250</v>
      </c>
      <c r="F7" s="28">
        <f t="shared" si="0"/>
        <v>4260</v>
      </c>
      <c r="G7" s="27">
        <v>3236</v>
      </c>
      <c r="H7" s="29">
        <f t="shared" si="1"/>
        <v>1.3133498145859086</v>
      </c>
    </row>
    <row r="8" spans="1:8" s="30" customFormat="1" ht="22" customHeight="1">
      <c r="A8" s="25" t="s">
        <v>12</v>
      </c>
      <c r="B8" s="26" t="s">
        <v>116</v>
      </c>
      <c r="C8" s="26" t="s">
        <v>6</v>
      </c>
      <c r="D8" s="26">
        <v>1</v>
      </c>
      <c r="E8" s="27">
        <v>4125</v>
      </c>
      <c r="F8" s="28">
        <f t="shared" si="0"/>
        <v>4135</v>
      </c>
      <c r="G8" s="27">
        <v>3143</v>
      </c>
      <c r="H8" s="29">
        <f t="shared" si="1"/>
        <v>1.3124403436207446</v>
      </c>
    </row>
    <row r="9" spans="1:8" s="30" customFormat="1" ht="22" customHeight="1">
      <c r="A9" s="25" t="s">
        <v>13</v>
      </c>
      <c r="B9" s="26" t="s">
        <v>116</v>
      </c>
      <c r="C9" s="26" t="s">
        <v>6</v>
      </c>
      <c r="D9" s="26">
        <v>1</v>
      </c>
      <c r="E9" s="27">
        <v>4175</v>
      </c>
      <c r="F9" s="28">
        <f t="shared" si="0"/>
        <v>4185</v>
      </c>
      <c r="G9" s="27">
        <v>3177</v>
      </c>
      <c r="H9" s="29">
        <f t="shared" si="1"/>
        <v>1.3141328297135662</v>
      </c>
    </row>
    <row r="10" spans="1:8" s="30" customFormat="1" ht="22" customHeight="1">
      <c r="A10" s="25" t="s">
        <v>14</v>
      </c>
      <c r="B10" s="26" t="s">
        <v>116</v>
      </c>
      <c r="C10" s="26" t="s">
        <v>6</v>
      </c>
      <c r="D10" s="26">
        <v>1</v>
      </c>
      <c r="E10" s="27">
        <v>4105</v>
      </c>
      <c r="F10" s="28">
        <f t="shared" si="0"/>
        <v>4115</v>
      </c>
      <c r="G10" s="27">
        <v>3129</v>
      </c>
      <c r="H10" s="29">
        <f t="shared" si="1"/>
        <v>1.3119207414509428</v>
      </c>
    </row>
    <row r="11" spans="1:8" s="30" customFormat="1" ht="22" customHeight="1">
      <c r="A11" s="25" t="s">
        <v>15</v>
      </c>
      <c r="B11" s="26" t="s">
        <v>116</v>
      </c>
      <c r="C11" s="26" t="s">
        <v>6</v>
      </c>
      <c r="D11" s="26">
        <v>1</v>
      </c>
      <c r="E11" s="27">
        <v>4100</v>
      </c>
      <c r="F11" s="28">
        <f t="shared" si="0"/>
        <v>4110</v>
      </c>
      <c r="G11" s="27">
        <v>3143</v>
      </c>
      <c r="H11" s="29">
        <f t="shared" si="1"/>
        <v>1.3044861597200128</v>
      </c>
    </row>
    <row r="12" spans="1:8" s="30" customFormat="1" ht="22" customHeight="1">
      <c r="A12" s="25" t="s">
        <v>16</v>
      </c>
      <c r="B12" s="26" t="s">
        <v>116</v>
      </c>
      <c r="C12" s="26" t="s">
        <v>6</v>
      </c>
      <c r="D12" s="26">
        <v>1</v>
      </c>
      <c r="E12" s="27">
        <v>4085</v>
      </c>
      <c r="F12" s="28">
        <f t="shared" si="0"/>
        <v>4095</v>
      </c>
      <c r="G12" s="27">
        <v>3133</v>
      </c>
      <c r="H12" s="29">
        <f t="shared" si="1"/>
        <v>1.3038621129907437</v>
      </c>
    </row>
    <row r="13" spans="1:8" s="30" customFormat="1" ht="22" customHeight="1">
      <c r="A13" s="25" t="s">
        <v>17</v>
      </c>
      <c r="B13" s="26" t="s">
        <v>116</v>
      </c>
      <c r="C13" s="26" t="s">
        <v>6</v>
      </c>
      <c r="D13" s="26">
        <v>1</v>
      </c>
      <c r="E13" s="27">
        <v>4365</v>
      </c>
      <c r="F13" s="28">
        <f t="shared" si="0"/>
        <v>4375</v>
      </c>
      <c r="G13" s="27">
        <v>3343</v>
      </c>
      <c r="H13" s="29">
        <f t="shared" si="1"/>
        <v>1.3057134310499552</v>
      </c>
    </row>
    <row r="14" spans="1:8" s="30" customFormat="1" ht="22" customHeight="1">
      <c r="A14" s="25" t="s">
        <v>18</v>
      </c>
      <c r="B14" s="26" t="s">
        <v>116</v>
      </c>
      <c r="C14" s="26" t="s">
        <v>6</v>
      </c>
      <c r="D14" s="26">
        <v>1</v>
      </c>
      <c r="E14" s="27">
        <v>4165</v>
      </c>
      <c r="F14" s="28">
        <f t="shared" si="0"/>
        <v>4175</v>
      </c>
      <c r="G14" s="27">
        <v>3135</v>
      </c>
      <c r="H14" s="29">
        <f t="shared" si="1"/>
        <v>1.328548644338118</v>
      </c>
    </row>
    <row r="15" spans="1:8" s="30" customFormat="1" ht="22" customHeight="1">
      <c r="A15" s="25" t="s">
        <v>19</v>
      </c>
      <c r="B15" s="26" t="s">
        <v>116</v>
      </c>
      <c r="C15" s="26" t="s">
        <v>6</v>
      </c>
      <c r="D15" s="26">
        <v>1</v>
      </c>
      <c r="E15" s="27">
        <v>4125</v>
      </c>
      <c r="F15" s="28">
        <f t="shared" si="0"/>
        <v>4135</v>
      </c>
      <c r="G15" s="27">
        <v>3135</v>
      </c>
      <c r="H15" s="29">
        <f t="shared" si="1"/>
        <v>1.3157894736842106</v>
      </c>
    </row>
    <row r="16" spans="1:8" s="30" customFormat="1" ht="22" customHeight="1">
      <c r="A16" s="25" t="s">
        <v>20</v>
      </c>
      <c r="B16" s="26" t="s">
        <v>116</v>
      </c>
      <c r="C16" s="26" t="s">
        <v>6</v>
      </c>
      <c r="D16" s="26">
        <v>1</v>
      </c>
      <c r="E16" s="27">
        <v>4130</v>
      </c>
      <c r="F16" s="28">
        <f t="shared" si="0"/>
        <v>4140</v>
      </c>
      <c r="G16" s="27">
        <v>3145</v>
      </c>
      <c r="H16" s="29">
        <f t="shared" si="1"/>
        <v>1.3131955484896662</v>
      </c>
    </row>
    <row r="17" spans="1:8" s="30" customFormat="1" ht="22" customHeight="1">
      <c r="A17" s="25" t="s">
        <v>21</v>
      </c>
      <c r="B17" s="26" t="s">
        <v>116</v>
      </c>
      <c r="C17" s="26" t="s">
        <v>6</v>
      </c>
      <c r="D17" s="26">
        <v>1</v>
      </c>
      <c r="E17" s="27">
        <v>4135</v>
      </c>
      <c r="F17" s="28">
        <f t="shared" si="0"/>
        <v>4145</v>
      </c>
      <c r="G17" s="27">
        <v>3150</v>
      </c>
      <c r="H17" s="29">
        <f t="shared" si="1"/>
        <v>1.3126984126984127</v>
      </c>
    </row>
    <row r="18" spans="1:8" s="30" customFormat="1" ht="22" customHeight="1">
      <c r="A18" s="25" t="s">
        <v>22</v>
      </c>
      <c r="B18" s="26" t="s">
        <v>116</v>
      </c>
      <c r="C18" s="26" t="s">
        <v>6</v>
      </c>
      <c r="D18" s="26">
        <v>1</v>
      </c>
      <c r="E18" s="27">
        <v>4175</v>
      </c>
      <c r="F18" s="28">
        <f t="shared" si="0"/>
        <v>4185</v>
      </c>
      <c r="G18" s="27">
        <v>3161</v>
      </c>
      <c r="H18" s="29">
        <f t="shared" si="1"/>
        <v>1.3207845618475167</v>
      </c>
    </row>
    <row r="19" spans="1:8" s="30" customFormat="1" ht="22" customHeight="1">
      <c r="A19" s="25" t="s">
        <v>23</v>
      </c>
      <c r="B19" s="26" t="s">
        <v>116</v>
      </c>
      <c r="C19" s="26" t="s">
        <v>6</v>
      </c>
      <c r="D19" s="26">
        <v>1</v>
      </c>
      <c r="E19" s="27">
        <v>4120</v>
      </c>
      <c r="F19" s="28">
        <f t="shared" si="0"/>
        <v>4130</v>
      </c>
      <c r="G19" s="27">
        <v>3133</v>
      </c>
      <c r="H19" s="29">
        <f t="shared" si="1"/>
        <v>1.3150335142036387</v>
      </c>
    </row>
    <row r="20" spans="1:8" s="30" customFormat="1" ht="22" customHeight="1">
      <c r="A20" s="25" t="s">
        <v>24</v>
      </c>
      <c r="B20" s="26" t="s">
        <v>116</v>
      </c>
      <c r="C20" s="26" t="s">
        <v>6</v>
      </c>
      <c r="D20" s="26">
        <v>1</v>
      </c>
      <c r="E20" s="27">
        <v>4120</v>
      </c>
      <c r="F20" s="28">
        <f t="shared" si="0"/>
        <v>4130</v>
      </c>
      <c r="G20" s="27">
        <v>3137</v>
      </c>
      <c r="H20" s="29">
        <f t="shared" si="1"/>
        <v>1.3133567102327064</v>
      </c>
    </row>
    <row r="21" spans="1:8" s="30" customFormat="1" ht="22" customHeight="1">
      <c r="A21" s="25" t="s">
        <v>25</v>
      </c>
      <c r="B21" s="26" t="s">
        <v>116</v>
      </c>
      <c r="C21" s="26" t="s">
        <v>6</v>
      </c>
      <c r="D21" s="26">
        <v>1</v>
      </c>
      <c r="E21" s="27">
        <v>4270</v>
      </c>
      <c r="F21" s="28">
        <f t="shared" si="0"/>
        <v>4280</v>
      </c>
      <c r="G21" s="27">
        <v>3268</v>
      </c>
      <c r="H21" s="29">
        <f t="shared" si="1"/>
        <v>1.306609547123623</v>
      </c>
    </row>
    <row r="22" spans="1:8" s="30" customFormat="1" ht="22" customHeight="1">
      <c r="A22" s="25" t="s">
        <v>26</v>
      </c>
      <c r="B22" s="26" t="s">
        <v>116</v>
      </c>
      <c r="C22" s="26" t="s">
        <v>6</v>
      </c>
      <c r="D22" s="26">
        <v>1</v>
      </c>
      <c r="E22" s="27">
        <v>4220</v>
      </c>
      <c r="F22" s="28">
        <f t="shared" si="0"/>
        <v>4230</v>
      </c>
      <c r="G22" s="27">
        <v>3197</v>
      </c>
      <c r="H22" s="29">
        <f t="shared" si="1"/>
        <v>1.3199874882702534</v>
      </c>
    </row>
    <row r="23" spans="1:8" s="30" customFormat="1" ht="22" customHeight="1">
      <c r="A23" s="25" t="s">
        <v>27</v>
      </c>
      <c r="B23" s="26" t="s">
        <v>116</v>
      </c>
      <c r="C23" s="26" t="s">
        <v>6</v>
      </c>
      <c r="D23" s="26">
        <v>1</v>
      </c>
      <c r="E23" s="27">
        <v>4140</v>
      </c>
      <c r="F23" s="28">
        <f t="shared" si="0"/>
        <v>4150</v>
      </c>
      <c r="G23" s="27">
        <v>3171</v>
      </c>
      <c r="H23" s="29">
        <f t="shared" si="1"/>
        <v>1.3055818353831599</v>
      </c>
    </row>
    <row r="24" spans="1:8" s="30" customFormat="1" ht="22" customHeight="1">
      <c r="A24" s="25" t="s">
        <v>28</v>
      </c>
      <c r="B24" s="26" t="s">
        <v>116</v>
      </c>
      <c r="C24" s="26" t="s">
        <v>6</v>
      </c>
      <c r="D24" s="26">
        <v>1</v>
      </c>
      <c r="E24" s="27">
        <v>4175</v>
      </c>
      <c r="F24" s="28">
        <f t="shared" si="0"/>
        <v>4185</v>
      </c>
      <c r="G24" s="27">
        <v>3195</v>
      </c>
      <c r="H24" s="29">
        <f t="shared" si="1"/>
        <v>1.3067292644757433</v>
      </c>
    </row>
    <row r="25" spans="1:8" s="30" customFormat="1" ht="22" customHeight="1">
      <c r="A25" s="25" t="s">
        <v>29</v>
      </c>
      <c r="B25" s="26" t="s">
        <v>116</v>
      </c>
      <c r="C25" s="26" t="s">
        <v>6</v>
      </c>
      <c r="D25" s="26">
        <v>1</v>
      </c>
      <c r="E25" s="27">
        <v>3845</v>
      </c>
      <c r="F25" s="28">
        <f t="shared" si="0"/>
        <v>3855</v>
      </c>
      <c r="G25" s="27">
        <v>2920</v>
      </c>
      <c r="H25" s="29">
        <f t="shared" si="1"/>
        <v>1.3167808219178083</v>
      </c>
    </row>
    <row r="26" spans="1:8" s="36" customFormat="1" ht="22" customHeight="1">
      <c r="A26" s="31" t="s">
        <v>30</v>
      </c>
      <c r="B26" s="32" t="s">
        <v>117</v>
      </c>
      <c r="C26" s="32" t="s">
        <v>31</v>
      </c>
      <c r="D26" s="32">
        <v>1</v>
      </c>
      <c r="E26" s="33">
        <v>4200</v>
      </c>
      <c r="F26" s="34">
        <f t="shared" si="0"/>
        <v>4210</v>
      </c>
      <c r="G26" s="33">
        <v>4218</v>
      </c>
      <c r="H26" s="35">
        <f t="shared" si="1"/>
        <v>0.99573257467994314</v>
      </c>
    </row>
    <row r="27" spans="1:8" s="36" customFormat="1" ht="22" customHeight="1">
      <c r="A27" s="31" t="s">
        <v>32</v>
      </c>
      <c r="B27" s="32" t="s">
        <v>117</v>
      </c>
      <c r="C27" s="32" t="s">
        <v>31</v>
      </c>
      <c r="D27" s="32">
        <v>1</v>
      </c>
      <c r="E27" s="33">
        <v>4154</v>
      </c>
      <c r="F27" s="34">
        <f t="shared" si="0"/>
        <v>4164</v>
      </c>
      <c r="G27" s="33">
        <v>4172</v>
      </c>
      <c r="H27" s="35">
        <f t="shared" si="1"/>
        <v>0.99568552253116016</v>
      </c>
    </row>
    <row r="28" spans="1:8" s="36" customFormat="1" ht="22" customHeight="1">
      <c r="A28" s="31" t="s">
        <v>33</v>
      </c>
      <c r="B28" s="32" t="s">
        <v>117</v>
      </c>
      <c r="C28" s="32" t="s">
        <v>31</v>
      </c>
      <c r="D28" s="32">
        <v>1</v>
      </c>
      <c r="E28" s="33">
        <v>4160</v>
      </c>
      <c r="F28" s="34">
        <f t="shared" si="0"/>
        <v>4170</v>
      </c>
      <c r="G28" s="33">
        <v>4178</v>
      </c>
      <c r="H28" s="35">
        <f t="shared" si="1"/>
        <v>0.99569171852561034</v>
      </c>
    </row>
    <row r="29" spans="1:8" s="36" customFormat="1" ht="22" customHeight="1">
      <c r="A29" s="31" t="s">
        <v>34</v>
      </c>
      <c r="B29" s="32" t="s">
        <v>117</v>
      </c>
      <c r="C29" s="32" t="s">
        <v>31</v>
      </c>
      <c r="D29" s="32">
        <v>1</v>
      </c>
      <c r="E29" s="33">
        <v>4056</v>
      </c>
      <c r="F29" s="34">
        <f t="shared" si="0"/>
        <v>4066</v>
      </c>
      <c r="G29" s="33">
        <v>4074</v>
      </c>
      <c r="H29" s="35">
        <f t="shared" si="1"/>
        <v>0.9955817378497791</v>
      </c>
    </row>
    <row r="30" spans="1:8" s="36" customFormat="1" ht="22" customHeight="1">
      <c r="A30" s="31" t="s">
        <v>35</v>
      </c>
      <c r="B30" s="32" t="s">
        <v>117</v>
      </c>
      <c r="C30" s="32" t="s">
        <v>31</v>
      </c>
      <c r="D30" s="32">
        <v>1</v>
      </c>
      <c r="E30" s="33">
        <v>4142</v>
      </c>
      <c r="F30" s="34">
        <f t="shared" si="0"/>
        <v>4152</v>
      </c>
      <c r="G30" s="33">
        <v>4160</v>
      </c>
      <c r="H30" s="35">
        <f t="shared" si="1"/>
        <v>0.99567307692307694</v>
      </c>
    </row>
    <row r="31" spans="1:8" s="36" customFormat="1" ht="22" customHeight="1">
      <c r="A31" s="31" t="s">
        <v>36</v>
      </c>
      <c r="B31" s="32" t="s">
        <v>117</v>
      </c>
      <c r="C31" s="32" t="s">
        <v>31</v>
      </c>
      <c r="D31" s="32">
        <v>1</v>
      </c>
      <c r="E31" s="33">
        <v>4124</v>
      </c>
      <c r="F31" s="34">
        <f t="shared" si="0"/>
        <v>4134</v>
      </c>
      <c r="G31" s="33">
        <v>4142</v>
      </c>
      <c r="H31" s="35">
        <f t="shared" si="1"/>
        <v>0.99565427329792366</v>
      </c>
    </row>
    <row r="32" spans="1:8" s="36" customFormat="1" ht="22" customHeight="1">
      <c r="A32" s="31" t="s">
        <v>37</v>
      </c>
      <c r="B32" s="32" t="s">
        <v>117</v>
      </c>
      <c r="C32" s="32" t="s">
        <v>31</v>
      </c>
      <c r="D32" s="32">
        <v>1</v>
      </c>
      <c r="E32" s="33">
        <v>4114</v>
      </c>
      <c r="F32" s="34">
        <f t="shared" si="0"/>
        <v>4124</v>
      </c>
      <c r="G32" s="33">
        <v>4132</v>
      </c>
      <c r="H32" s="35">
        <f t="shared" si="1"/>
        <v>0.99564375605033884</v>
      </c>
    </row>
    <row r="33" spans="1:8" s="36" customFormat="1" ht="22" customHeight="1">
      <c r="A33" s="31" t="s">
        <v>38</v>
      </c>
      <c r="B33" s="32" t="s">
        <v>117</v>
      </c>
      <c r="C33" s="32" t="s">
        <v>31</v>
      </c>
      <c r="D33" s="32">
        <v>1</v>
      </c>
      <c r="E33" s="33">
        <v>4268</v>
      </c>
      <c r="F33" s="34">
        <f t="shared" si="0"/>
        <v>4278</v>
      </c>
      <c r="G33" s="33">
        <v>4286</v>
      </c>
      <c r="H33" s="35">
        <f t="shared" si="1"/>
        <v>0.99580027998133458</v>
      </c>
    </row>
    <row r="34" spans="1:8" s="36" customFormat="1" ht="22" customHeight="1">
      <c r="A34" s="31" t="s">
        <v>39</v>
      </c>
      <c r="B34" s="32" t="s">
        <v>117</v>
      </c>
      <c r="C34" s="32" t="s">
        <v>31</v>
      </c>
      <c r="D34" s="32">
        <v>1</v>
      </c>
      <c r="E34" s="33">
        <v>4174</v>
      </c>
      <c r="F34" s="34">
        <f t="shared" si="0"/>
        <v>4184</v>
      </c>
      <c r="G34" s="33">
        <v>4192</v>
      </c>
      <c r="H34" s="35">
        <f t="shared" si="1"/>
        <v>0.99570610687022898</v>
      </c>
    </row>
    <row r="35" spans="1:8" s="36" customFormat="1" ht="22" customHeight="1">
      <c r="A35" s="31" t="s">
        <v>40</v>
      </c>
      <c r="B35" s="32" t="s">
        <v>117</v>
      </c>
      <c r="C35" s="32" t="s">
        <v>31</v>
      </c>
      <c r="D35" s="32">
        <v>1</v>
      </c>
      <c r="E35" s="33">
        <v>4138</v>
      </c>
      <c r="F35" s="34">
        <f t="shared" si="0"/>
        <v>4148</v>
      </c>
      <c r="G35" s="33">
        <v>4156</v>
      </c>
      <c r="H35" s="35">
        <f t="shared" si="1"/>
        <v>0.99566891241578437</v>
      </c>
    </row>
    <row r="36" spans="1:8" s="36" customFormat="1" ht="22" customHeight="1">
      <c r="A36" s="31" t="s">
        <v>41</v>
      </c>
      <c r="B36" s="32" t="s">
        <v>117</v>
      </c>
      <c r="C36" s="32" t="s">
        <v>31</v>
      </c>
      <c r="D36" s="32">
        <v>1</v>
      </c>
      <c r="E36" s="33">
        <v>4128</v>
      </c>
      <c r="F36" s="34">
        <f t="shared" si="0"/>
        <v>4138</v>
      </c>
      <c r="G36" s="33">
        <v>4146</v>
      </c>
      <c r="H36" s="35">
        <f t="shared" si="1"/>
        <v>0.99565846599131691</v>
      </c>
    </row>
    <row r="37" spans="1:8" s="36" customFormat="1" ht="22" customHeight="1">
      <c r="A37" s="31" t="s">
        <v>42</v>
      </c>
      <c r="B37" s="32" t="s">
        <v>117</v>
      </c>
      <c r="C37" s="32" t="s">
        <v>31</v>
      </c>
      <c r="D37" s="32">
        <v>1</v>
      </c>
      <c r="E37" s="33">
        <v>4214</v>
      </c>
      <c r="F37" s="34">
        <f t="shared" si="0"/>
        <v>4224</v>
      </c>
      <c r="G37" s="33">
        <v>4232</v>
      </c>
      <c r="H37" s="35">
        <f t="shared" si="1"/>
        <v>0.99574669187145559</v>
      </c>
    </row>
    <row r="38" spans="1:8" s="2" customFormat="1" ht="22" hidden="1" customHeight="1">
      <c r="A38" s="20" t="s">
        <v>123</v>
      </c>
      <c r="B38" s="32" t="s">
        <v>117</v>
      </c>
      <c r="C38" s="32" t="s">
        <v>31</v>
      </c>
      <c r="D38" s="21">
        <f t="shared" ref="D38:F38" si="2">SUM(D26:D37)</f>
        <v>12</v>
      </c>
      <c r="E38" s="22">
        <f t="shared" si="2"/>
        <v>49872</v>
      </c>
      <c r="F38" s="23">
        <f t="shared" si="2"/>
        <v>49992</v>
      </c>
      <c r="G38" s="22"/>
      <c r="H38" s="24"/>
    </row>
    <row r="39" spans="1:8" s="2" customFormat="1" ht="22" hidden="1" customHeight="1">
      <c r="A39" s="9"/>
      <c r="B39" s="10"/>
      <c r="C39" s="10"/>
      <c r="D39" s="10"/>
      <c r="E39" s="17"/>
      <c r="F39" s="18"/>
      <c r="G39" s="17"/>
      <c r="H39" s="19"/>
    </row>
    <row r="40" spans="1:8" s="30" customFormat="1" ht="22" customHeight="1">
      <c r="A40" s="25" t="s">
        <v>43</v>
      </c>
      <c r="B40" s="26" t="s">
        <v>118</v>
      </c>
      <c r="C40" s="26" t="s">
        <v>44</v>
      </c>
      <c r="D40" s="26">
        <v>1</v>
      </c>
      <c r="E40" s="27">
        <v>4610</v>
      </c>
      <c r="F40" s="28">
        <f t="shared" si="0"/>
        <v>4620</v>
      </c>
      <c r="G40" s="27">
        <v>2730</v>
      </c>
      <c r="H40" s="29">
        <f t="shared" si="1"/>
        <v>1.6886446886446886</v>
      </c>
    </row>
    <row r="41" spans="1:8" s="30" customFormat="1" ht="22" customHeight="1">
      <c r="A41" s="25" t="s">
        <v>45</v>
      </c>
      <c r="B41" s="26" t="s">
        <v>118</v>
      </c>
      <c r="C41" s="26" t="s">
        <v>44</v>
      </c>
      <c r="D41" s="26">
        <v>1</v>
      </c>
      <c r="E41" s="27">
        <v>4640</v>
      </c>
      <c r="F41" s="28">
        <f t="shared" si="0"/>
        <v>4650</v>
      </c>
      <c r="G41" s="27">
        <v>2738</v>
      </c>
      <c r="H41" s="29">
        <f t="shared" si="1"/>
        <v>1.6946676406135865</v>
      </c>
    </row>
    <row r="42" spans="1:8" s="30" customFormat="1" ht="22" customHeight="1">
      <c r="A42" s="25" t="s">
        <v>46</v>
      </c>
      <c r="B42" s="26" t="s">
        <v>118</v>
      </c>
      <c r="C42" s="26" t="s">
        <v>44</v>
      </c>
      <c r="D42" s="26">
        <v>1</v>
      </c>
      <c r="E42" s="27">
        <v>4700</v>
      </c>
      <c r="F42" s="28">
        <f t="shared" si="0"/>
        <v>4710</v>
      </c>
      <c r="G42" s="27">
        <v>2765</v>
      </c>
      <c r="H42" s="29">
        <f t="shared" si="1"/>
        <v>1.6998191681735986</v>
      </c>
    </row>
    <row r="43" spans="1:8" s="30" customFormat="1" ht="22" customHeight="1">
      <c r="A43" s="25" t="s">
        <v>47</v>
      </c>
      <c r="B43" s="26" t="s">
        <v>118</v>
      </c>
      <c r="C43" s="26" t="s">
        <v>44</v>
      </c>
      <c r="D43" s="26">
        <v>1</v>
      </c>
      <c r="E43" s="27">
        <v>4460</v>
      </c>
      <c r="F43" s="28">
        <f t="shared" si="0"/>
        <v>4470</v>
      </c>
      <c r="G43" s="27">
        <v>2628</v>
      </c>
      <c r="H43" s="29">
        <f t="shared" si="1"/>
        <v>1.6971080669710807</v>
      </c>
    </row>
    <row r="44" spans="1:8" s="30" customFormat="1" ht="22" customHeight="1">
      <c r="A44" s="25" t="s">
        <v>48</v>
      </c>
      <c r="B44" s="26" t="s">
        <v>118</v>
      </c>
      <c r="C44" s="26" t="s">
        <v>44</v>
      </c>
      <c r="D44" s="26">
        <v>1</v>
      </c>
      <c r="E44" s="27">
        <v>4365</v>
      </c>
      <c r="F44" s="28">
        <f t="shared" si="0"/>
        <v>4375</v>
      </c>
      <c r="G44" s="27">
        <v>2593</v>
      </c>
      <c r="H44" s="29">
        <f t="shared" si="1"/>
        <v>1.6833783262630158</v>
      </c>
    </row>
    <row r="45" spans="1:8" s="2" customFormat="1" ht="22" hidden="1" customHeight="1">
      <c r="A45" s="20" t="s">
        <v>123</v>
      </c>
      <c r="B45" s="26" t="s">
        <v>118</v>
      </c>
      <c r="C45" s="26" t="s">
        <v>44</v>
      </c>
      <c r="D45" s="21">
        <f t="shared" ref="D45:F45" si="3">SUM(D40:D44)</f>
        <v>5</v>
      </c>
      <c r="E45" s="22">
        <f t="shared" si="3"/>
        <v>22775</v>
      </c>
      <c r="F45" s="23">
        <f t="shared" si="3"/>
        <v>22825</v>
      </c>
      <c r="G45" s="22"/>
      <c r="H45" s="24"/>
    </row>
    <row r="46" spans="1:8" s="2" customFormat="1" ht="22" hidden="1" customHeight="1">
      <c r="A46" s="9"/>
      <c r="B46" s="10"/>
      <c r="C46" s="10"/>
      <c r="D46" s="10"/>
      <c r="E46" s="17"/>
      <c r="F46" s="18"/>
      <c r="G46" s="17"/>
      <c r="H46" s="19"/>
    </row>
    <row r="47" spans="1:8" s="30" customFormat="1" ht="22" customHeight="1">
      <c r="A47" s="37" t="s">
        <v>49</v>
      </c>
      <c r="B47" s="38" t="s">
        <v>50</v>
      </c>
      <c r="C47" s="38" t="s">
        <v>50</v>
      </c>
      <c r="D47" s="38">
        <v>1</v>
      </c>
      <c r="E47" s="39">
        <v>4175</v>
      </c>
      <c r="F47" s="40">
        <f t="shared" si="0"/>
        <v>4185</v>
      </c>
      <c r="G47" s="39">
        <v>2129</v>
      </c>
      <c r="H47" s="41">
        <f t="shared" si="1"/>
        <v>1.9610145608266791</v>
      </c>
    </row>
    <row r="48" spans="1:8" s="30" customFormat="1" ht="22" customHeight="1">
      <c r="A48" s="37" t="s">
        <v>51</v>
      </c>
      <c r="B48" s="38" t="s">
        <v>50</v>
      </c>
      <c r="C48" s="38" t="s">
        <v>50</v>
      </c>
      <c r="D48" s="38">
        <v>1</v>
      </c>
      <c r="E48" s="39">
        <v>4390</v>
      </c>
      <c r="F48" s="40">
        <f t="shared" si="0"/>
        <v>4400</v>
      </c>
      <c r="G48" s="39">
        <v>2235</v>
      </c>
      <c r="H48" s="41">
        <f t="shared" si="1"/>
        <v>1.9642058165548097</v>
      </c>
    </row>
    <row r="49" spans="1:8" s="30" customFormat="1" ht="22" customHeight="1">
      <c r="A49" s="37" t="s">
        <v>52</v>
      </c>
      <c r="B49" s="38" t="s">
        <v>50</v>
      </c>
      <c r="C49" s="38" t="s">
        <v>50</v>
      </c>
      <c r="D49" s="38">
        <v>1</v>
      </c>
      <c r="E49" s="39">
        <v>4415</v>
      </c>
      <c r="F49" s="40">
        <f t="shared" si="0"/>
        <v>4425</v>
      </c>
      <c r="G49" s="39">
        <v>2245</v>
      </c>
      <c r="H49" s="41">
        <f t="shared" si="1"/>
        <v>1.9665924276169264</v>
      </c>
    </row>
    <row r="50" spans="1:8" s="30" customFormat="1" ht="22" customHeight="1">
      <c r="A50" s="37" t="s">
        <v>53</v>
      </c>
      <c r="B50" s="38" t="s">
        <v>50</v>
      </c>
      <c r="C50" s="38" t="s">
        <v>50</v>
      </c>
      <c r="D50" s="38">
        <v>1</v>
      </c>
      <c r="E50" s="39">
        <v>4385</v>
      </c>
      <c r="F50" s="40">
        <f t="shared" si="0"/>
        <v>4395</v>
      </c>
      <c r="G50" s="39">
        <v>2229</v>
      </c>
      <c r="H50" s="41">
        <f t="shared" si="1"/>
        <v>1.9672498878420817</v>
      </c>
    </row>
    <row r="51" spans="1:8" s="30" customFormat="1" ht="22" customHeight="1">
      <c r="A51" s="37" t="s">
        <v>54</v>
      </c>
      <c r="B51" s="38" t="s">
        <v>50</v>
      </c>
      <c r="C51" s="38" t="s">
        <v>50</v>
      </c>
      <c r="D51" s="38">
        <v>1</v>
      </c>
      <c r="E51" s="39">
        <v>4050</v>
      </c>
      <c r="F51" s="40">
        <f t="shared" si="0"/>
        <v>4060</v>
      </c>
      <c r="G51" s="39">
        <v>2049</v>
      </c>
      <c r="H51" s="41">
        <f t="shared" si="1"/>
        <v>1.9765739385065886</v>
      </c>
    </row>
    <row r="52" spans="1:8" s="30" customFormat="1" ht="22" customHeight="1">
      <c r="A52" s="37" t="s">
        <v>55</v>
      </c>
      <c r="B52" s="38" t="s">
        <v>50</v>
      </c>
      <c r="C52" s="38" t="s">
        <v>50</v>
      </c>
      <c r="D52" s="38">
        <v>1</v>
      </c>
      <c r="E52" s="39">
        <v>4575</v>
      </c>
      <c r="F52" s="40">
        <f t="shared" si="0"/>
        <v>4585</v>
      </c>
      <c r="G52" s="39">
        <v>2327</v>
      </c>
      <c r="H52" s="41">
        <f t="shared" si="1"/>
        <v>1.9660507090674688</v>
      </c>
    </row>
    <row r="53" spans="1:8" s="30" customFormat="1" ht="22" customHeight="1">
      <c r="A53" s="37" t="s">
        <v>56</v>
      </c>
      <c r="B53" s="38" t="s">
        <v>50</v>
      </c>
      <c r="C53" s="38" t="s">
        <v>50</v>
      </c>
      <c r="D53" s="38">
        <v>1</v>
      </c>
      <c r="E53" s="39">
        <v>4575</v>
      </c>
      <c r="F53" s="40">
        <f t="shared" si="0"/>
        <v>4585</v>
      </c>
      <c r="G53" s="39">
        <v>2333</v>
      </c>
      <c r="H53" s="41">
        <f t="shared" si="1"/>
        <v>1.9609944277753966</v>
      </c>
    </row>
    <row r="54" spans="1:8" s="30" customFormat="1" ht="22" customHeight="1">
      <c r="A54" s="37" t="s">
        <v>57</v>
      </c>
      <c r="B54" s="38" t="s">
        <v>50</v>
      </c>
      <c r="C54" s="38" t="s">
        <v>50</v>
      </c>
      <c r="D54" s="38">
        <v>1</v>
      </c>
      <c r="E54" s="39">
        <v>4585</v>
      </c>
      <c r="F54" s="40">
        <f t="shared" si="0"/>
        <v>4595</v>
      </c>
      <c r="G54" s="39">
        <v>2333</v>
      </c>
      <c r="H54" s="41">
        <f t="shared" si="1"/>
        <v>1.9652807543934847</v>
      </c>
    </row>
    <row r="55" spans="1:8" s="30" customFormat="1" ht="22" customHeight="1">
      <c r="A55" s="37" t="s">
        <v>58</v>
      </c>
      <c r="B55" s="38" t="s">
        <v>50</v>
      </c>
      <c r="C55" s="38" t="s">
        <v>50</v>
      </c>
      <c r="D55" s="38">
        <v>1</v>
      </c>
      <c r="E55" s="39">
        <v>4600</v>
      </c>
      <c r="F55" s="40">
        <f t="shared" si="0"/>
        <v>4610</v>
      </c>
      <c r="G55" s="39">
        <v>2333</v>
      </c>
      <c r="H55" s="41">
        <f t="shared" si="1"/>
        <v>1.9717102443206171</v>
      </c>
    </row>
    <row r="56" spans="1:8" s="30" customFormat="1" ht="22" customHeight="1">
      <c r="A56" s="37" t="s">
        <v>59</v>
      </c>
      <c r="B56" s="38" t="s">
        <v>50</v>
      </c>
      <c r="C56" s="38" t="s">
        <v>50</v>
      </c>
      <c r="D56" s="38">
        <v>1</v>
      </c>
      <c r="E56" s="39">
        <v>4315</v>
      </c>
      <c r="F56" s="40">
        <f t="shared" si="0"/>
        <v>4325</v>
      </c>
      <c r="G56" s="39">
        <v>2178</v>
      </c>
      <c r="H56" s="41">
        <f t="shared" si="1"/>
        <v>1.9811753902662994</v>
      </c>
    </row>
    <row r="57" spans="1:8" s="2" customFormat="1" ht="22" hidden="1" customHeight="1">
      <c r="A57" s="20" t="s">
        <v>123</v>
      </c>
      <c r="B57" s="26" t="s">
        <v>50</v>
      </c>
      <c r="C57" s="26" t="s">
        <v>50</v>
      </c>
      <c r="D57" s="21">
        <f>SUM(D47:D56)</f>
        <v>10</v>
      </c>
      <c r="E57" s="22">
        <f t="shared" ref="E57:F57" si="4">SUM(E47:E56)</f>
        <v>44065</v>
      </c>
      <c r="F57" s="23">
        <f t="shared" si="4"/>
        <v>44165</v>
      </c>
      <c r="G57" s="22"/>
      <c r="H57" s="24"/>
    </row>
    <row r="58" spans="1:8" s="2" customFormat="1" ht="22" hidden="1" customHeight="1">
      <c r="A58" s="9"/>
      <c r="B58" s="10"/>
      <c r="C58" s="10"/>
      <c r="D58" s="10"/>
      <c r="E58" s="17"/>
      <c r="F58" s="18"/>
      <c r="G58" s="17"/>
      <c r="H58" s="19"/>
    </row>
    <row r="59" spans="1:8" s="30" customFormat="1" ht="22" customHeight="1">
      <c r="A59" s="25" t="s">
        <v>60</v>
      </c>
      <c r="B59" s="26" t="s">
        <v>50</v>
      </c>
      <c r="C59" s="26" t="s">
        <v>50</v>
      </c>
      <c r="D59" s="26">
        <v>1</v>
      </c>
      <c r="E59" s="27">
        <v>4250</v>
      </c>
      <c r="F59" s="28">
        <f t="shared" si="0"/>
        <v>4260</v>
      </c>
      <c r="G59" s="27">
        <v>2160</v>
      </c>
      <c r="H59" s="29">
        <f t="shared" si="1"/>
        <v>1.9675925925925926</v>
      </c>
    </row>
    <row r="60" spans="1:8" s="30" customFormat="1" ht="22" customHeight="1">
      <c r="A60" s="25" t="s">
        <v>61</v>
      </c>
      <c r="B60" s="26" t="s">
        <v>50</v>
      </c>
      <c r="C60" s="26" t="s">
        <v>50</v>
      </c>
      <c r="D60" s="26">
        <v>1</v>
      </c>
      <c r="E60" s="27">
        <v>4214</v>
      </c>
      <c r="F60" s="28">
        <f t="shared" si="0"/>
        <v>4224</v>
      </c>
      <c r="G60" s="27">
        <v>2150</v>
      </c>
      <c r="H60" s="29">
        <f t="shared" si="1"/>
        <v>1.96</v>
      </c>
    </row>
    <row r="61" spans="1:8" s="30" customFormat="1" ht="22" customHeight="1">
      <c r="A61" s="25" t="s">
        <v>62</v>
      </c>
      <c r="B61" s="26" t="s">
        <v>50</v>
      </c>
      <c r="C61" s="26" t="s">
        <v>50</v>
      </c>
      <c r="D61" s="26">
        <v>1</v>
      </c>
      <c r="E61" s="27">
        <v>4252</v>
      </c>
      <c r="F61" s="28">
        <f t="shared" si="0"/>
        <v>4262</v>
      </c>
      <c r="G61" s="27">
        <v>2160</v>
      </c>
      <c r="H61" s="29">
        <f t="shared" si="1"/>
        <v>1.9685185185185186</v>
      </c>
    </row>
    <row r="62" spans="1:8" s="30" customFormat="1" ht="22" customHeight="1">
      <c r="A62" s="25" t="s">
        <v>63</v>
      </c>
      <c r="B62" s="26" t="s">
        <v>50</v>
      </c>
      <c r="C62" s="26" t="s">
        <v>50</v>
      </c>
      <c r="D62" s="26">
        <v>1</v>
      </c>
      <c r="E62" s="27">
        <v>4220</v>
      </c>
      <c r="F62" s="28">
        <f t="shared" si="0"/>
        <v>4230</v>
      </c>
      <c r="G62" s="27">
        <v>2140</v>
      </c>
      <c r="H62" s="29">
        <f t="shared" si="1"/>
        <v>1.97196261682243</v>
      </c>
    </row>
    <row r="63" spans="1:8" s="30" customFormat="1" ht="22" customHeight="1">
      <c r="A63" s="25" t="s">
        <v>64</v>
      </c>
      <c r="B63" s="26" t="s">
        <v>50</v>
      </c>
      <c r="C63" s="26" t="s">
        <v>50</v>
      </c>
      <c r="D63" s="26">
        <v>1</v>
      </c>
      <c r="E63" s="27">
        <v>4228</v>
      </c>
      <c r="F63" s="28">
        <f t="shared" si="0"/>
        <v>4238</v>
      </c>
      <c r="G63" s="27">
        <v>2150</v>
      </c>
      <c r="H63" s="29">
        <f t="shared" si="1"/>
        <v>1.9665116279069768</v>
      </c>
    </row>
    <row r="64" spans="1:8" s="30" customFormat="1" ht="22" customHeight="1">
      <c r="A64" s="25" t="s">
        <v>65</v>
      </c>
      <c r="B64" s="26" t="s">
        <v>50</v>
      </c>
      <c r="C64" s="26" t="s">
        <v>50</v>
      </c>
      <c r="D64" s="26">
        <v>1</v>
      </c>
      <c r="E64" s="27">
        <v>4214</v>
      </c>
      <c r="F64" s="28">
        <f t="shared" si="0"/>
        <v>4224</v>
      </c>
      <c r="G64" s="27">
        <v>2150</v>
      </c>
      <c r="H64" s="29">
        <f t="shared" si="1"/>
        <v>1.96</v>
      </c>
    </row>
    <row r="65" spans="1:8" s="30" customFormat="1" ht="22" customHeight="1">
      <c r="A65" s="25" t="s">
        <v>66</v>
      </c>
      <c r="B65" s="26" t="s">
        <v>50</v>
      </c>
      <c r="C65" s="26" t="s">
        <v>50</v>
      </c>
      <c r="D65" s="26">
        <v>1</v>
      </c>
      <c r="E65" s="27">
        <v>4222</v>
      </c>
      <c r="F65" s="28">
        <f t="shared" si="0"/>
        <v>4232</v>
      </c>
      <c r="G65" s="27">
        <v>2150</v>
      </c>
      <c r="H65" s="29">
        <f t="shared" si="1"/>
        <v>1.9637209302325582</v>
      </c>
    </row>
    <row r="66" spans="1:8" s="30" customFormat="1" ht="22" customHeight="1">
      <c r="A66" s="25" t="s">
        <v>67</v>
      </c>
      <c r="B66" s="26" t="s">
        <v>50</v>
      </c>
      <c r="C66" s="26" t="s">
        <v>50</v>
      </c>
      <c r="D66" s="26">
        <v>1</v>
      </c>
      <c r="E66" s="27">
        <v>4248</v>
      </c>
      <c r="F66" s="28">
        <f t="shared" si="0"/>
        <v>4258</v>
      </c>
      <c r="G66" s="27">
        <v>2150</v>
      </c>
      <c r="H66" s="29">
        <f t="shared" si="1"/>
        <v>1.9758139534883721</v>
      </c>
    </row>
    <row r="67" spans="1:8" s="30" customFormat="1" ht="22" customHeight="1">
      <c r="A67" s="25" t="s">
        <v>68</v>
      </c>
      <c r="B67" s="26" t="s">
        <v>50</v>
      </c>
      <c r="C67" s="26" t="s">
        <v>50</v>
      </c>
      <c r="D67" s="26">
        <v>1</v>
      </c>
      <c r="E67" s="27">
        <v>4208</v>
      </c>
      <c r="F67" s="28">
        <f t="shared" si="0"/>
        <v>4218</v>
      </c>
      <c r="G67" s="27">
        <v>2145</v>
      </c>
      <c r="H67" s="29">
        <f t="shared" si="1"/>
        <v>1.9617715617715619</v>
      </c>
    </row>
    <row r="68" spans="1:8" s="30" customFormat="1" ht="22" customHeight="1">
      <c r="A68" s="25" t="s">
        <v>69</v>
      </c>
      <c r="B68" s="26" t="s">
        <v>50</v>
      </c>
      <c r="C68" s="26" t="s">
        <v>50</v>
      </c>
      <c r="D68" s="26">
        <v>1</v>
      </c>
      <c r="E68" s="27">
        <v>4182</v>
      </c>
      <c r="F68" s="28">
        <f t="shared" si="0"/>
        <v>4192</v>
      </c>
      <c r="G68" s="27">
        <v>2135</v>
      </c>
      <c r="H68" s="29">
        <f t="shared" si="1"/>
        <v>1.9587822014051521</v>
      </c>
    </row>
    <row r="69" spans="1:8" s="30" customFormat="1" ht="22" customHeight="1">
      <c r="A69" s="25" t="s">
        <v>70</v>
      </c>
      <c r="B69" s="26" t="s">
        <v>50</v>
      </c>
      <c r="C69" s="26" t="s">
        <v>50</v>
      </c>
      <c r="D69" s="26">
        <v>1</v>
      </c>
      <c r="E69" s="27">
        <v>4208</v>
      </c>
      <c r="F69" s="28">
        <f t="shared" si="0"/>
        <v>4218</v>
      </c>
      <c r="G69" s="27">
        <v>2140</v>
      </c>
      <c r="H69" s="29">
        <f t="shared" si="1"/>
        <v>1.9663551401869159</v>
      </c>
    </row>
    <row r="70" spans="1:8" s="30" customFormat="1" ht="22" customHeight="1">
      <c r="A70" s="25" t="s">
        <v>71</v>
      </c>
      <c r="B70" s="26" t="s">
        <v>50</v>
      </c>
      <c r="C70" s="26" t="s">
        <v>50</v>
      </c>
      <c r="D70" s="26">
        <v>1</v>
      </c>
      <c r="E70" s="27">
        <v>4144</v>
      </c>
      <c r="F70" s="28">
        <f t="shared" si="0"/>
        <v>4154</v>
      </c>
      <c r="G70" s="27">
        <v>2100</v>
      </c>
      <c r="H70" s="29">
        <f t="shared" si="1"/>
        <v>1.9733333333333334</v>
      </c>
    </row>
    <row r="71" spans="1:8" s="2" customFormat="1" ht="22" hidden="1" customHeight="1">
      <c r="A71" s="20" t="s">
        <v>124</v>
      </c>
      <c r="B71" s="26" t="s">
        <v>50</v>
      </c>
      <c r="C71" s="26" t="s">
        <v>50</v>
      </c>
      <c r="D71" s="21">
        <f>SUM(D59:D70)</f>
        <v>12</v>
      </c>
      <c r="E71" s="22">
        <f>SUM(E59:E70)</f>
        <v>50590</v>
      </c>
      <c r="F71" s="23">
        <f>SUM(F59:F70)</f>
        <v>50710</v>
      </c>
      <c r="G71" s="22"/>
      <c r="H71" s="24"/>
    </row>
    <row r="72" spans="1:8" s="2" customFormat="1" ht="22" hidden="1" customHeight="1">
      <c r="A72" s="9"/>
      <c r="B72" s="10"/>
      <c r="C72" s="10"/>
      <c r="D72" s="10"/>
      <c r="E72" s="17"/>
      <c r="F72" s="18"/>
      <c r="G72" s="17"/>
      <c r="H72" s="19"/>
    </row>
    <row r="73" spans="1:8" s="30" customFormat="1" ht="22" customHeight="1">
      <c r="A73" s="37" t="s">
        <v>72</v>
      </c>
      <c r="B73" s="38" t="s">
        <v>119</v>
      </c>
      <c r="C73" s="38" t="s">
        <v>73</v>
      </c>
      <c r="D73" s="38">
        <v>1</v>
      </c>
      <c r="E73" s="39">
        <v>4194</v>
      </c>
      <c r="F73" s="40">
        <f t="shared" si="0"/>
        <v>4204</v>
      </c>
      <c r="G73" s="39">
        <v>1940</v>
      </c>
      <c r="H73" s="41">
        <f t="shared" si="1"/>
        <v>2.1618556701030927</v>
      </c>
    </row>
    <row r="74" spans="1:8" s="30" customFormat="1" ht="22" customHeight="1">
      <c r="A74" s="37" t="s">
        <v>74</v>
      </c>
      <c r="B74" s="38" t="s">
        <v>119</v>
      </c>
      <c r="C74" s="38" t="s">
        <v>73</v>
      </c>
      <c r="D74" s="38">
        <v>1</v>
      </c>
      <c r="E74" s="39">
        <v>4172</v>
      </c>
      <c r="F74" s="40">
        <f t="shared" si="0"/>
        <v>4182</v>
      </c>
      <c r="G74" s="39">
        <v>1940</v>
      </c>
      <c r="H74" s="41">
        <f t="shared" si="1"/>
        <v>2.1505154639175257</v>
      </c>
    </row>
    <row r="75" spans="1:8" s="30" customFormat="1" ht="22" customHeight="1">
      <c r="A75" s="37" t="s">
        <v>75</v>
      </c>
      <c r="B75" s="38" t="s">
        <v>119</v>
      </c>
      <c r="C75" s="38" t="s">
        <v>73</v>
      </c>
      <c r="D75" s="38">
        <v>1</v>
      </c>
      <c r="E75" s="39">
        <v>4192</v>
      </c>
      <c r="F75" s="40">
        <f t="shared" ref="F75:F118" si="5">E75+10</f>
        <v>4202</v>
      </c>
      <c r="G75" s="39">
        <v>1950</v>
      </c>
      <c r="H75" s="41">
        <f t="shared" ref="H75:H118" si="6">E75/G75</f>
        <v>2.1497435897435899</v>
      </c>
    </row>
    <row r="76" spans="1:8" s="30" customFormat="1" ht="22" customHeight="1">
      <c r="A76" s="37" t="s">
        <v>76</v>
      </c>
      <c r="B76" s="38" t="s">
        <v>119</v>
      </c>
      <c r="C76" s="38" t="s">
        <v>73</v>
      </c>
      <c r="D76" s="38">
        <v>1</v>
      </c>
      <c r="E76" s="39">
        <v>4138</v>
      </c>
      <c r="F76" s="40">
        <f t="shared" si="5"/>
        <v>4148</v>
      </c>
      <c r="G76" s="39">
        <v>1920</v>
      </c>
      <c r="H76" s="41">
        <f t="shared" si="6"/>
        <v>2.1552083333333334</v>
      </c>
    </row>
    <row r="77" spans="1:8" s="30" customFormat="1" ht="22" customHeight="1">
      <c r="A77" s="37" t="s">
        <v>77</v>
      </c>
      <c r="B77" s="38" t="s">
        <v>119</v>
      </c>
      <c r="C77" s="38" t="s">
        <v>73</v>
      </c>
      <c r="D77" s="38">
        <v>1</v>
      </c>
      <c r="E77" s="39">
        <v>4200</v>
      </c>
      <c r="F77" s="40">
        <f t="shared" si="5"/>
        <v>4210</v>
      </c>
      <c r="G77" s="39">
        <v>1946</v>
      </c>
      <c r="H77" s="41">
        <f t="shared" si="6"/>
        <v>2.1582733812949639</v>
      </c>
    </row>
    <row r="78" spans="1:8" s="30" customFormat="1" ht="22" customHeight="1">
      <c r="A78" s="37" t="s">
        <v>78</v>
      </c>
      <c r="B78" s="38" t="s">
        <v>119</v>
      </c>
      <c r="C78" s="38" t="s">
        <v>73</v>
      </c>
      <c r="D78" s="38">
        <v>1</v>
      </c>
      <c r="E78" s="39">
        <v>4182</v>
      </c>
      <c r="F78" s="40">
        <f t="shared" si="5"/>
        <v>4192</v>
      </c>
      <c r="G78" s="39">
        <v>1946</v>
      </c>
      <c r="H78" s="41">
        <f t="shared" si="6"/>
        <v>2.1490236382322712</v>
      </c>
    </row>
    <row r="79" spans="1:8" s="30" customFormat="1" ht="22" customHeight="1">
      <c r="A79" s="37" t="s">
        <v>79</v>
      </c>
      <c r="B79" s="38" t="s">
        <v>119</v>
      </c>
      <c r="C79" s="38" t="s">
        <v>73</v>
      </c>
      <c r="D79" s="38">
        <v>1</v>
      </c>
      <c r="E79" s="39">
        <v>4206</v>
      </c>
      <c r="F79" s="40">
        <f t="shared" si="5"/>
        <v>4216</v>
      </c>
      <c r="G79" s="39">
        <v>1950</v>
      </c>
      <c r="H79" s="41">
        <f t="shared" si="6"/>
        <v>2.1569230769230767</v>
      </c>
    </row>
    <row r="80" spans="1:8" s="30" customFormat="1" ht="22" customHeight="1">
      <c r="A80" s="37" t="s">
        <v>80</v>
      </c>
      <c r="B80" s="38" t="s">
        <v>119</v>
      </c>
      <c r="C80" s="38" t="s">
        <v>73</v>
      </c>
      <c r="D80" s="38">
        <v>1</v>
      </c>
      <c r="E80" s="39">
        <v>4190</v>
      </c>
      <c r="F80" s="40">
        <f t="shared" si="5"/>
        <v>4200</v>
      </c>
      <c r="G80" s="39">
        <v>1940</v>
      </c>
      <c r="H80" s="41">
        <f t="shared" si="6"/>
        <v>2.1597938144329896</v>
      </c>
    </row>
    <row r="81" spans="1:8" s="30" customFormat="1" ht="22" customHeight="1">
      <c r="A81" s="37" t="s">
        <v>81</v>
      </c>
      <c r="B81" s="38" t="s">
        <v>119</v>
      </c>
      <c r="C81" s="38" t="s">
        <v>73</v>
      </c>
      <c r="D81" s="38">
        <v>1</v>
      </c>
      <c r="E81" s="39">
        <v>3740</v>
      </c>
      <c r="F81" s="40">
        <f t="shared" si="5"/>
        <v>3750</v>
      </c>
      <c r="G81" s="39">
        <v>1735</v>
      </c>
      <c r="H81" s="41">
        <f t="shared" si="6"/>
        <v>2.1556195965417868</v>
      </c>
    </row>
    <row r="82" spans="1:8" s="30" customFormat="1" ht="22" customHeight="1">
      <c r="A82" s="37" t="s">
        <v>82</v>
      </c>
      <c r="B82" s="38" t="s">
        <v>119</v>
      </c>
      <c r="C82" s="38" t="s">
        <v>73</v>
      </c>
      <c r="D82" s="38">
        <v>1</v>
      </c>
      <c r="E82" s="39">
        <v>3570</v>
      </c>
      <c r="F82" s="40">
        <f t="shared" si="5"/>
        <v>3580</v>
      </c>
      <c r="G82" s="39">
        <v>1655</v>
      </c>
      <c r="H82" s="41">
        <f t="shared" si="6"/>
        <v>2.1570996978851964</v>
      </c>
    </row>
    <row r="83" spans="1:8" s="30" customFormat="1" ht="22" customHeight="1">
      <c r="A83" s="37" t="s">
        <v>83</v>
      </c>
      <c r="B83" s="38" t="s">
        <v>119</v>
      </c>
      <c r="C83" s="38" t="s">
        <v>73</v>
      </c>
      <c r="D83" s="38">
        <v>1</v>
      </c>
      <c r="E83" s="39">
        <v>3536</v>
      </c>
      <c r="F83" s="40">
        <f t="shared" si="5"/>
        <v>3546</v>
      </c>
      <c r="G83" s="39">
        <v>1635</v>
      </c>
      <c r="H83" s="41">
        <f t="shared" si="6"/>
        <v>2.1626911314984709</v>
      </c>
    </row>
    <row r="84" spans="1:8" s="30" customFormat="1" ht="22" customHeight="1">
      <c r="A84" s="37" t="s">
        <v>84</v>
      </c>
      <c r="B84" s="38" t="s">
        <v>119</v>
      </c>
      <c r="C84" s="38" t="s">
        <v>73</v>
      </c>
      <c r="D84" s="38">
        <v>1</v>
      </c>
      <c r="E84" s="39">
        <v>3634</v>
      </c>
      <c r="F84" s="40">
        <f t="shared" si="5"/>
        <v>3644</v>
      </c>
      <c r="G84" s="39">
        <v>1680</v>
      </c>
      <c r="H84" s="41">
        <f t="shared" si="6"/>
        <v>2.163095238095238</v>
      </c>
    </row>
    <row r="85" spans="1:8" s="2" customFormat="1" ht="22" hidden="1" customHeight="1">
      <c r="A85" s="20" t="s">
        <v>124</v>
      </c>
      <c r="B85" s="26" t="s">
        <v>119</v>
      </c>
      <c r="C85" s="26" t="s">
        <v>73</v>
      </c>
      <c r="D85" s="21">
        <f t="shared" ref="D85:F85" si="7">SUM(D73:D84)</f>
        <v>12</v>
      </c>
      <c r="E85" s="22">
        <f t="shared" si="7"/>
        <v>47954</v>
      </c>
      <c r="F85" s="23">
        <f t="shared" si="7"/>
        <v>48074</v>
      </c>
      <c r="G85" s="22"/>
      <c r="H85" s="24"/>
    </row>
    <row r="86" spans="1:8" s="2" customFormat="1" ht="22" hidden="1" customHeight="1">
      <c r="A86" s="9"/>
      <c r="B86" s="10"/>
      <c r="C86" s="10"/>
      <c r="D86" s="10"/>
      <c r="E86" s="17"/>
      <c r="F86" s="18"/>
      <c r="G86" s="17"/>
      <c r="H86" s="19"/>
    </row>
    <row r="87" spans="1:8" s="30" customFormat="1" ht="22" customHeight="1">
      <c r="A87" s="25" t="s">
        <v>85</v>
      </c>
      <c r="B87" s="26" t="s">
        <v>120</v>
      </c>
      <c r="C87" s="26" t="s">
        <v>86</v>
      </c>
      <c r="D87" s="26">
        <v>1</v>
      </c>
      <c r="E87" s="27">
        <v>4195</v>
      </c>
      <c r="F87" s="28">
        <f t="shared" si="5"/>
        <v>4205</v>
      </c>
      <c r="G87" s="27">
        <v>1696</v>
      </c>
      <c r="H87" s="29">
        <f t="shared" si="6"/>
        <v>2.4734669811320753</v>
      </c>
    </row>
    <row r="88" spans="1:8" s="30" customFormat="1" ht="22" customHeight="1">
      <c r="A88" s="25" t="s">
        <v>87</v>
      </c>
      <c r="B88" s="26" t="s">
        <v>120</v>
      </c>
      <c r="C88" s="26" t="s">
        <v>86</v>
      </c>
      <c r="D88" s="26">
        <v>1</v>
      </c>
      <c r="E88" s="27">
        <v>4149</v>
      </c>
      <c r="F88" s="28">
        <f t="shared" si="5"/>
        <v>4159</v>
      </c>
      <c r="G88" s="27">
        <v>1696</v>
      </c>
      <c r="H88" s="29">
        <f t="shared" si="6"/>
        <v>2.4463443396226414</v>
      </c>
    </row>
    <row r="89" spans="1:8" s="30" customFormat="1" ht="22" customHeight="1">
      <c r="A89" s="25" t="s">
        <v>88</v>
      </c>
      <c r="B89" s="26" t="s">
        <v>120</v>
      </c>
      <c r="C89" s="26" t="s">
        <v>86</v>
      </c>
      <c r="D89" s="26">
        <v>1</v>
      </c>
      <c r="E89" s="27">
        <v>4147</v>
      </c>
      <c r="F89" s="28">
        <f t="shared" si="5"/>
        <v>4157</v>
      </c>
      <c r="G89" s="27">
        <v>1696</v>
      </c>
      <c r="H89" s="29">
        <f t="shared" si="6"/>
        <v>2.4451650943396226</v>
      </c>
    </row>
    <row r="90" spans="1:8" s="30" customFormat="1" ht="22" customHeight="1">
      <c r="A90" s="25" t="s">
        <v>89</v>
      </c>
      <c r="B90" s="26" t="s">
        <v>120</v>
      </c>
      <c r="C90" s="26" t="s">
        <v>86</v>
      </c>
      <c r="D90" s="26">
        <v>1</v>
      </c>
      <c r="E90" s="27">
        <v>4343</v>
      </c>
      <c r="F90" s="28">
        <f t="shared" si="5"/>
        <v>4353</v>
      </c>
      <c r="G90" s="27">
        <v>1767</v>
      </c>
      <c r="H90" s="29">
        <f t="shared" si="6"/>
        <v>2.4578381437464629</v>
      </c>
    </row>
    <row r="91" spans="1:8" s="30" customFormat="1" ht="22" customHeight="1">
      <c r="A91" s="25" t="s">
        <v>90</v>
      </c>
      <c r="B91" s="26" t="s">
        <v>120</v>
      </c>
      <c r="C91" s="26" t="s">
        <v>86</v>
      </c>
      <c r="D91" s="26">
        <v>1</v>
      </c>
      <c r="E91" s="27">
        <v>4195</v>
      </c>
      <c r="F91" s="28">
        <f t="shared" si="5"/>
        <v>4205</v>
      </c>
      <c r="G91" s="27">
        <v>1707</v>
      </c>
      <c r="H91" s="29">
        <f t="shared" si="6"/>
        <v>2.457527826596368</v>
      </c>
    </row>
    <row r="92" spans="1:8" s="30" customFormat="1" ht="22" customHeight="1">
      <c r="A92" s="25" t="s">
        <v>91</v>
      </c>
      <c r="B92" s="26" t="s">
        <v>120</v>
      </c>
      <c r="C92" s="26" t="s">
        <v>86</v>
      </c>
      <c r="D92" s="26">
        <v>1</v>
      </c>
      <c r="E92" s="27">
        <v>4185</v>
      </c>
      <c r="F92" s="28">
        <f t="shared" si="5"/>
        <v>4195</v>
      </c>
      <c r="G92" s="27">
        <v>1706</v>
      </c>
      <c r="H92" s="29">
        <f t="shared" si="6"/>
        <v>2.4531066822977725</v>
      </c>
    </row>
    <row r="93" spans="1:8" s="30" customFormat="1" ht="22" customHeight="1">
      <c r="A93" s="25" t="s">
        <v>92</v>
      </c>
      <c r="B93" s="26" t="s">
        <v>120</v>
      </c>
      <c r="C93" s="26" t="s">
        <v>86</v>
      </c>
      <c r="D93" s="26">
        <v>1</v>
      </c>
      <c r="E93" s="27">
        <v>4185</v>
      </c>
      <c r="F93" s="28">
        <f t="shared" si="5"/>
        <v>4195</v>
      </c>
      <c r="G93" s="27">
        <v>1706</v>
      </c>
      <c r="H93" s="29">
        <f t="shared" si="6"/>
        <v>2.4531066822977725</v>
      </c>
    </row>
    <row r="94" spans="1:8" s="30" customFormat="1" ht="22" customHeight="1">
      <c r="A94" s="25" t="s">
        <v>93</v>
      </c>
      <c r="B94" s="26" t="s">
        <v>120</v>
      </c>
      <c r="C94" s="26" t="s">
        <v>86</v>
      </c>
      <c r="D94" s="26">
        <v>1</v>
      </c>
      <c r="E94" s="27">
        <v>4217</v>
      </c>
      <c r="F94" s="28">
        <f t="shared" si="5"/>
        <v>4227</v>
      </c>
      <c r="G94" s="27">
        <v>1790</v>
      </c>
      <c r="H94" s="29">
        <f t="shared" si="6"/>
        <v>2.3558659217877094</v>
      </c>
    </row>
    <row r="95" spans="1:8" s="2" customFormat="1" ht="22" hidden="1" customHeight="1">
      <c r="A95" s="20" t="s">
        <v>124</v>
      </c>
      <c r="B95" s="26" t="s">
        <v>120</v>
      </c>
      <c r="C95" s="26" t="s">
        <v>86</v>
      </c>
      <c r="D95" s="21">
        <f t="shared" ref="D95:F95" si="8">SUM(D87:D94)</f>
        <v>8</v>
      </c>
      <c r="E95" s="22">
        <f t="shared" si="8"/>
        <v>33616</v>
      </c>
      <c r="F95" s="23">
        <f t="shared" si="8"/>
        <v>33696</v>
      </c>
      <c r="G95" s="22"/>
      <c r="H95" s="24"/>
    </row>
    <row r="96" spans="1:8" s="2" customFormat="1" ht="22" hidden="1" customHeight="1">
      <c r="A96" s="9"/>
      <c r="B96" s="10"/>
      <c r="C96" s="10"/>
      <c r="D96" s="10"/>
      <c r="E96" s="17"/>
      <c r="F96" s="18"/>
      <c r="G96" s="17"/>
      <c r="H96" s="19"/>
    </row>
    <row r="97" spans="1:8" s="36" customFormat="1" ht="22" customHeight="1">
      <c r="A97" s="31" t="s">
        <v>94</v>
      </c>
      <c r="B97" s="32" t="s">
        <v>117</v>
      </c>
      <c r="C97" s="32" t="s">
        <v>31</v>
      </c>
      <c r="D97" s="32">
        <v>1</v>
      </c>
      <c r="E97" s="33">
        <v>3934</v>
      </c>
      <c r="F97" s="34">
        <f t="shared" si="5"/>
        <v>3944</v>
      </c>
      <c r="G97" s="33">
        <v>4070</v>
      </c>
      <c r="H97" s="35">
        <f t="shared" si="6"/>
        <v>0.96658476658476655</v>
      </c>
    </row>
    <row r="98" spans="1:8" s="36" customFormat="1" ht="22" customHeight="1">
      <c r="A98" s="31" t="s">
        <v>95</v>
      </c>
      <c r="B98" s="32" t="s">
        <v>117</v>
      </c>
      <c r="C98" s="32" t="s">
        <v>31</v>
      </c>
      <c r="D98" s="32">
        <v>1</v>
      </c>
      <c r="E98" s="33">
        <v>3976</v>
      </c>
      <c r="F98" s="34">
        <f t="shared" si="5"/>
        <v>3986</v>
      </c>
      <c r="G98" s="33">
        <v>4117</v>
      </c>
      <c r="H98" s="35">
        <f t="shared" si="6"/>
        <v>0.9657517609910129</v>
      </c>
    </row>
    <row r="99" spans="1:8" s="36" customFormat="1" ht="22" customHeight="1">
      <c r="A99" s="31" t="s">
        <v>96</v>
      </c>
      <c r="B99" s="32" t="s">
        <v>117</v>
      </c>
      <c r="C99" s="32" t="s">
        <v>31</v>
      </c>
      <c r="D99" s="32">
        <v>1</v>
      </c>
      <c r="E99" s="33">
        <v>3992</v>
      </c>
      <c r="F99" s="34">
        <f t="shared" si="5"/>
        <v>4002</v>
      </c>
      <c r="G99" s="33">
        <v>4125</v>
      </c>
      <c r="H99" s="35">
        <f t="shared" si="6"/>
        <v>0.96775757575757571</v>
      </c>
    </row>
    <row r="100" spans="1:8" s="36" customFormat="1" ht="22" customHeight="1">
      <c r="A100" s="31" t="s">
        <v>97</v>
      </c>
      <c r="B100" s="32" t="s">
        <v>117</v>
      </c>
      <c r="C100" s="32" t="s">
        <v>31</v>
      </c>
      <c r="D100" s="32">
        <v>1</v>
      </c>
      <c r="E100" s="33">
        <v>4038.0000000000005</v>
      </c>
      <c r="F100" s="34">
        <f t="shared" si="5"/>
        <v>4048.0000000000005</v>
      </c>
      <c r="G100" s="33">
        <v>4178</v>
      </c>
      <c r="H100" s="35">
        <f t="shared" si="6"/>
        <v>0.96649114408808057</v>
      </c>
    </row>
    <row r="101" spans="1:8" s="36" customFormat="1" ht="22" customHeight="1">
      <c r="A101" s="31" t="s">
        <v>98</v>
      </c>
      <c r="B101" s="32" t="s">
        <v>117</v>
      </c>
      <c r="C101" s="32" t="s">
        <v>31</v>
      </c>
      <c r="D101" s="32">
        <v>1</v>
      </c>
      <c r="E101" s="33">
        <v>4354</v>
      </c>
      <c r="F101" s="34">
        <f t="shared" si="5"/>
        <v>4364</v>
      </c>
      <c r="G101" s="33">
        <v>4494</v>
      </c>
      <c r="H101" s="35">
        <f t="shared" si="6"/>
        <v>0.96884735202492211</v>
      </c>
    </row>
    <row r="102" spans="1:8" s="36" customFormat="1" ht="22" customHeight="1">
      <c r="A102" s="31" t="s">
        <v>99</v>
      </c>
      <c r="B102" s="32" t="s">
        <v>117</v>
      </c>
      <c r="C102" s="32" t="s">
        <v>31</v>
      </c>
      <c r="D102" s="32">
        <v>1</v>
      </c>
      <c r="E102" s="33">
        <v>4356</v>
      </c>
      <c r="F102" s="34">
        <f t="shared" si="5"/>
        <v>4366</v>
      </c>
      <c r="G102" s="33">
        <v>4504</v>
      </c>
      <c r="H102" s="35">
        <f t="shared" si="6"/>
        <v>0.96714031971580816</v>
      </c>
    </row>
    <row r="103" spans="1:8" s="36" customFormat="1" ht="22" customHeight="1">
      <c r="A103" s="31" t="s">
        <v>100</v>
      </c>
      <c r="B103" s="32" t="s">
        <v>117</v>
      </c>
      <c r="C103" s="32" t="s">
        <v>31</v>
      </c>
      <c r="D103" s="32">
        <v>1</v>
      </c>
      <c r="E103" s="33">
        <v>4334</v>
      </c>
      <c r="F103" s="34">
        <f t="shared" si="5"/>
        <v>4344</v>
      </c>
      <c r="G103" s="33">
        <v>4513</v>
      </c>
      <c r="H103" s="35">
        <f t="shared" si="6"/>
        <v>0.96033680478617323</v>
      </c>
    </row>
    <row r="104" spans="1:8" s="36" customFormat="1" ht="22" customHeight="1">
      <c r="A104" s="31" t="s">
        <v>101</v>
      </c>
      <c r="B104" s="32" t="s">
        <v>117</v>
      </c>
      <c r="C104" s="32" t="s">
        <v>31</v>
      </c>
      <c r="D104" s="32">
        <v>1</v>
      </c>
      <c r="E104" s="33">
        <v>4312</v>
      </c>
      <c r="F104" s="34">
        <f t="shared" si="5"/>
        <v>4322</v>
      </c>
      <c r="G104" s="33">
        <v>4413</v>
      </c>
      <c r="H104" s="35">
        <f t="shared" si="6"/>
        <v>0.97711307500566513</v>
      </c>
    </row>
    <row r="105" spans="1:8" s="36" customFormat="1" ht="22" customHeight="1">
      <c r="A105" s="31" t="s">
        <v>102</v>
      </c>
      <c r="B105" s="32" t="s">
        <v>117</v>
      </c>
      <c r="C105" s="32" t="s">
        <v>31</v>
      </c>
      <c r="D105" s="32">
        <v>1</v>
      </c>
      <c r="E105" s="33">
        <v>4094.0000000000005</v>
      </c>
      <c r="F105" s="34">
        <f t="shared" si="5"/>
        <v>4104</v>
      </c>
      <c r="G105" s="33">
        <v>4275</v>
      </c>
      <c r="H105" s="35">
        <f t="shared" si="6"/>
        <v>0.95766081871345043</v>
      </c>
    </row>
    <row r="106" spans="1:8" s="36" customFormat="1" ht="22" customHeight="1">
      <c r="A106" s="31" t="s">
        <v>103</v>
      </c>
      <c r="B106" s="32" t="s">
        <v>117</v>
      </c>
      <c r="C106" s="32" t="s">
        <v>31</v>
      </c>
      <c r="D106" s="32">
        <v>1</v>
      </c>
      <c r="E106" s="33">
        <v>4114</v>
      </c>
      <c r="F106" s="34">
        <f t="shared" si="5"/>
        <v>4124</v>
      </c>
      <c r="G106" s="33">
        <v>4301</v>
      </c>
      <c r="H106" s="35">
        <f t="shared" si="6"/>
        <v>0.95652173913043481</v>
      </c>
    </row>
    <row r="107" spans="1:8" s="36" customFormat="1" ht="22" customHeight="1">
      <c r="A107" s="31" t="s">
        <v>104</v>
      </c>
      <c r="B107" s="32" t="s">
        <v>117</v>
      </c>
      <c r="C107" s="32" t="s">
        <v>31</v>
      </c>
      <c r="D107" s="32">
        <v>1</v>
      </c>
      <c r="E107" s="33">
        <v>4208</v>
      </c>
      <c r="F107" s="34">
        <f t="shared" si="5"/>
        <v>4218</v>
      </c>
      <c r="G107" s="33">
        <v>4402</v>
      </c>
      <c r="H107" s="35">
        <f t="shared" si="6"/>
        <v>0.95592912312585188</v>
      </c>
    </row>
    <row r="108" spans="1:8" s="36" customFormat="1" ht="22" customHeight="1">
      <c r="A108" s="31" t="s">
        <v>105</v>
      </c>
      <c r="B108" s="32" t="s">
        <v>117</v>
      </c>
      <c r="C108" s="32" t="s">
        <v>31</v>
      </c>
      <c r="D108" s="32">
        <v>1</v>
      </c>
      <c r="E108" s="33">
        <v>4156</v>
      </c>
      <c r="F108" s="34">
        <f t="shared" si="5"/>
        <v>4166</v>
      </c>
      <c r="G108" s="33">
        <v>4320</v>
      </c>
      <c r="H108" s="35">
        <f t="shared" si="6"/>
        <v>0.96203703703703702</v>
      </c>
    </row>
    <row r="109" spans="1:8" s="2" customFormat="1" ht="22" hidden="1" customHeight="1">
      <c r="A109" s="20" t="s">
        <v>124</v>
      </c>
      <c r="B109" s="32" t="s">
        <v>117</v>
      </c>
      <c r="C109" s="32" t="s">
        <v>31</v>
      </c>
      <c r="D109" s="21">
        <f t="shared" ref="D109:F109" si="9">SUM(D97:D108)</f>
        <v>12</v>
      </c>
      <c r="E109" s="22">
        <f t="shared" si="9"/>
        <v>49868</v>
      </c>
      <c r="F109" s="23">
        <f t="shared" si="9"/>
        <v>49988</v>
      </c>
      <c r="G109" s="22"/>
      <c r="H109" s="24"/>
    </row>
    <row r="110" spans="1:8" s="2" customFormat="1" ht="22" hidden="1" customHeight="1">
      <c r="A110" s="9"/>
      <c r="B110" s="10"/>
      <c r="C110" s="10"/>
      <c r="D110" s="10"/>
      <c r="E110" s="17"/>
      <c r="F110" s="18"/>
      <c r="G110" s="17"/>
      <c r="H110" s="19"/>
    </row>
    <row r="111" spans="1:8" s="36" customFormat="1" ht="22" customHeight="1">
      <c r="A111" s="42" t="s">
        <v>106</v>
      </c>
      <c r="B111" s="43" t="s">
        <v>121</v>
      </c>
      <c r="C111" s="43" t="s">
        <v>107</v>
      </c>
      <c r="D111" s="43">
        <v>1</v>
      </c>
      <c r="E111" s="44">
        <v>4332</v>
      </c>
      <c r="F111" s="45">
        <f t="shared" si="5"/>
        <v>4342</v>
      </c>
      <c r="G111" s="44">
        <v>3681</v>
      </c>
      <c r="H111" s="46">
        <f t="shared" si="6"/>
        <v>1.1768541157294214</v>
      </c>
    </row>
    <row r="112" spans="1:8" s="36" customFormat="1" ht="22" customHeight="1">
      <c r="A112" s="42" t="s">
        <v>108</v>
      </c>
      <c r="B112" s="43" t="s">
        <v>121</v>
      </c>
      <c r="C112" s="43" t="s">
        <v>107</v>
      </c>
      <c r="D112" s="43">
        <v>1</v>
      </c>
      <c r="E112" s="44">
        <v>4322</v>
      </c>
      <c r="F112" s="45">
        <f t="shared" si="5"/>
        <v>4332</v>
      </c>
      <c r="G112" s="44">
        <v>3685</v>
      </c>
      <c r="H112" s="46">
        <f t="shared" si="6"/>
        <v>1.1728629579375849</v>
      </c>
    </row>
    <row r="113" spans="1:8" s="36" customFormat="1" ht="22" customHeight="1">
      <c r="A113" s="42" t="s">
        <v>109</v>
      </c>
      <c r="B113" s="43" t="s">
        <v>121</v>
      </c>
      <c r="C113" s="43" t="s">
        <v>107</v>
      </c>
      <c r="D113" s="43">
        <v>1</v>
      </c>
      <c r="E113" s="44">
        <v>4306</v>
      </c>
      <c r="F113" s="45">
        <f t="shared" si="5"/>
        <v>4316</v>
      </c>
      <c r="G113" s="44">
        <v>3676</v>
      </c>
      <c r="H113" s="46">
        <f t="shared" si="6"/>
        <v>1.1713819368879217</v>
      </c>
    </row>
    <row r="114" spans="1:8" s="36" customFormat="1" ht="22" customHeight="1">
      <c r="A114" s="42" t="s">
        <v>110</v>
      </c>
      <c r="B114" s="43" t="s">
        <v>121</v>
      </c>
      <c r="C114" s="43" t="s">
        <v>107</v>
      </c>
      <c r="D114" s="43">
        <v>1</v>
      </c>
      <c r="E114" s="44">
        <v>4360</v>
      </c>
      <c r="F114" s="45">
        <f t="shared" si="5"/>
        <v>4370</v>
      </c>
      <c r="G114" s="44">
        <v>3727</v>
      </c>
      <c r="H114" s="46">
        <f t="shared" si="6"/>
        <v>1.1698416957338342</v>
      </c>
    </row>
    <row r="115" spans="1:8" s="36" customFormat="1" ht="22" customHeight="1">
      <c r="A115" s="42" t="s">
        <v>111</v>
      </c>
      <c r="B115" s="43" t="s">
        <v>121</v>
      </c>
      <c r="C115" s="43" t="s">
        <v>107</v>
      </c>
      <c r="D115" s="43">
        <v>1</v>
      </c>
      <c r="E115" s="44">
        <v>4326</v>
      </c>
      <c r="F115" s="45">
        <f t="shared" si="5"/>
        <v>4336</v>
      </c>
      <c r="G115" s="44">
        <v>3683</v>
      </c>
      <c r="H115" s="46">
        <f t="shared" si="6"/>
        <v>1.1745859353787673</v>
      </c>
    </row>
    <row r="116" spans="1:8" s="36" customFormat="1" ht="22" customHeight="1">
      <c r="A116" s="42" t="s">
        <v>112</v>
      </c>
      <c r="B116" s="43" t="s">
        <v>121</v>
      </c>
      <c r="C116" s="43" t="s">
        <v>107</v>
      </c>
      <c r="D116" s="43">
        <v>1</v>
      </c>
      <c r="E116" s="44">
        <v>4358</v>
      </c>
      <c r="F116" s="45">
        <f t="shared" si="5"/>
        <v>4368</v>
      </c>
      <c r="G116" s="44">
        <v>3725</v>
      </c>
      <c r="H116" s="46">
        <f t="shared" si="6"/>
        <v>1.1699328859060403</v>
      </c>
    </row>
    <row r="117" spans="1:8" s="36" customFormat="1" ht="22" customHeight="1">
      <c r="A117" s="42" t="s">
        <v>113</v>
      </c>
      <c r="B117" s="43" t="s">
        <v>121</v>
      </c>
      <c r="C117" s="43" t="s">
        <v>107</v>
      </c>
      <c r="D117" s="43">
        <v>1</v>
      </c>
      <c r="E117" s="44">
        <v>4360</v>
      </c>
      <c r="F117" s="45">
        <f t="shared" si="5"/>
        <v>4370</v>
      </c>
      <c r="G117" s="44">
        <v>3733</v>
      </c>
      <c r="H117" s="46">
        <f t="shared" si="6"/>
        <v>1.1679614251272434</v>
      </c>
    </row>
    <row r="118" spans="1:8" s="36" customFormat="1" ht="22" customHeight="1">
      <c r="A118" s="42" t="s">
        <v>114</v>
      </c>
      <c r="B118" s="43" t="s">
        <v>121</v>
      </c>
      <c r="C118" s="43" t="s">
        <v>107</v>
      </c>
      <c r="D118" s="43">
        <v>1</v>
      </c>
      <c r="E118" s="44">
        <v>4466</v>
      </c>
      <c r="F118" s="45">
        <f t="shared" si="5"/>
        <v>4476</v>
      </c>
      <c r="G118" s="44">
        <v>3822</v>
      </c>
      <c r="H118" s="46">
        <f t="shared" si="6"/>
        <v>1.1684981684981686</v>
      </c>
    </row>
    <row r="119" spans="1:8" s="2" customFormat="1" ht="22" hidden="1" customHeight="1">
      <c r="A119" s="20" t="s">
        <v>124</v>
      </c>
      <c r="B119" s="32" t="s">
        <v>121</v>
      </c>
      <c r="C119" s="32" t="s">
        <v>107</v>
      </c>
      <c r="D119" s="21">
        <f t="shared" ref="D119:F119" si="10">SUM(D111:D118)</f>
        <v>8</v>
      </c>
      <c r="E119" s="22">
        <f t="shared" si="10"/>
        <v>34830</v>
      </c>
      <c r="F119" s="23">
        <f t="shared" si="10"/>
        <v>34910</v>
      </c>
      <c r="G119" s="22"/>
      <c r="H119" s="24"/>
    </row>
    <row r="120" spans="1:8" ht="20" hidden="1" customHeight="1">
      <c r="A120" s="11"/>
      <c r="B120" s="12"/>
      <c r="C120" s="12"/>
      <c r="D120" s="13"/>
      <c r="E120" s="14"/>
      <c r="F120" s="13"/>
    </row>
    <row r="121" spans="1:8" ht="20" hidden="1" customHeight="1">
      <c r="A121" s="15"/>
      <c r="B121" s="12"/>
      <c r="C121" s="12"/>
      <c r="D121" s="13"/>
      <c r="E121" s="14"/>
      <c r="F121" s="13"/>
    </row>
    <row r="122" spans="1:8" ht="20" hidden="1" customHeight="1">
      <c r="A122" s="15"/>
      <c r="B122" s="12"/>
      <c r="C122" s="12"/>
      <c r="D122" s="13"/>
      <c r="E122" s="14"/>
      <c r="F122" s="13"/>
    </row>
    <row r="123" spans="1:8" ht="20" hidden="1">
      <c r="A123" s="16"/>
      <c r="B123" s="12"/>
      <c r="C123" s="12"/>
      <c r="D123" s="13"/>
      <c r="E123" s="14"/>
      <c r="F123" s="13"/>
    </row>
    <row r="124" spans="1:8" ht="23" hidden="1">
      <c r="A124" s="47"/>
      <c r="B124" s="47"/>
      <c r="C124" s="47"/>
      <c r="D124" s="48"/>
      <c r="E124" s="49"/>
      <c r="F124" s="48"/>
      <c r="G124" s="48"/>
      <c r="H124" s="47"/>
    </row>
  </sheetData>
  <mergeCells count="1">
    <mergeCell ref="A124:H124"/>
  </mergeCells>
  <printOptions horizontalCentered="1"/>
  <pageMargins left="0.16041666666666701" right="0.16041666666666701" top="0.47152777777777799" bottom="0.196527777777778" header="0.27500000000000002" footer="7.7777777777777807E-2"/>
  <pageSetup paperSize="9" scale="72" fitToHeight="0" orientation="portrait" r:id="rId1"/>
  <rowBreaks count="2" manualBreakCount="2">
    <brk id="124" max="16383" man="1"/>
    <brk id="12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</vt:lpstr>
      <vt:lpstr>PL!Print_Area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Imanuel Iman</cp:lastModifiedBy>
  <dcterms:created xsi:type="dcterms:W3CDTF">2025-09-25T09:37:00Z</dcterms:created>
  <dcterms:modified xsi:type="dcterms:W3CDTF">2026-05-05T02:40:42Z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48DC02D6550A4991BD8A79DEFD9D3A9C_13</vt:lpwstr>
  </property>
  <property fmtid="{D5CDD505-2E9C-101B-9397-08002B2CF9AE}" pid="3" name="KSOProductBuildVer">
    <vt:lpwstr>2052-12.1.0.18608</vt:lpwstr>
  </property>
</Properties>
</file>